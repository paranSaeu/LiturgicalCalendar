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c27ddcdef4366ee/S. Dominicus Savio/Officium Divinum/전례/"/>
    </mc:Choice>
  </mc:AlternateContent>
  <xr:revisionPtr revIDLastSave="321" documentId="8_{B111591A-F4EF-4C68-9CA7-02AAFCB5E430}" xr6:coauthVersionLast="47" xr6:coauthVersionMax="47" xr10:uidLastSave="{35BE7137-79E1-4BEF-B6CD-1469BC85CD55}"/>
  <bookViews>
    <workbookView xWindow="4572" yWindow="4572" windowWidth="23040" windowHeight="13560" activeTab="1" xr2:uid="{0FDAC605-A259-4DB7-B086-C26F26F8010C}"/>
  </bookViews>
  <sheets>
    <sheet name="Sheet1" sheetId="1" r:id="rId1"/>
    <sheet name="Sheet2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9" i="2" l="1"/>
  <c r="E109" i="2"/>
  <c r="F109" i="2"/>
  <c r="G109" i="2"/>
  <c r="H109" i="2"/>
  <c r="I109" i="2"/>
  <c r="J109" i="2"/>
  <c r="K109" i="2"/>
  <c r="L109" i="2"/>
  <c r="M109" i="2"/>
  <c r="N109" i="2"/>
  <c r="O109" i="2"/>
  <c r="P109" i="2"/>
  <c r="Q109" i="2"/>
  <c r="R109" i="2"/>
  <c r="S109" i="2"/>
  <c r="T109" i="2"/>
  <c r="U109" i="2"/>
  <c r="V109" i="2"/>
  <c r="W109" i="2"/>
  <c r="X109" i="2"/>
  <c r="C109" i="2"/>
  <c r="B109" i="2"/>
  <c r="M123" i="2"/>
  <c r="M124" i="2" s="1"/>
  <c r="N123" i="2"/>
  <c r="N124" i="2" s="1"/>
  <c r="J74" i="2"/>
  <c r="L76" i="2"/>
  <c r="L82" i="2" s="1"/>
  <c r="V58" i="2"/>
  <c r="B53" i="2"/>
  <c r="B74" i="2" s="1"/>
  <c r="C53" i="2"/>
  <c r="C76" i="2" s="1"/>
  <c r="D53" i="2"/>
  <c r="D54" i="2" s="1"/>
  <c r="E53" i="2"/>
  <c r="E75" i="2" s="1"/>
  <c r="E79" i="2" s="1"/>
  <c r="F53" i="2"/>
  <c r="F76" i="2" s="1"/>
  <c r="F82" i="2" s="1"/>
  <c r="G53" i="2"/>
  <c r="G76" i="2" s="1"/>
  <c r="G82" i="2" s="1"/>
  <c r="H53" i="2"/>
  <c r="H75" i="2" s="1"/>
  <c r="H77" i="2" s="1"/>
  <c r="I53" i="2"/>
  <c r="I76" i="2" s="1"/>
  <c r="I82" i="2" s="1"/>
  <c r="J53" i="2"/>
  <c r="J76" i="2" s="1"/>
  <c r="J82" i="2" s="1"/>
  <c r="K53" i="2"/>
  <c r="K76" i="2" s="1"/>
  <c r="K82" i="2" s="1"/>
  <c r="L53" i="2"/>
  <c r="L54" i="2" s="1"/>
  <c r="M53" i="2"/>
  <c r="M54" i="2" s="1"/>
  <c r="N53" i="2"/>
  <c r="N74" i="2" s="1"/>
  <c r="O53" i="2"/>
  <c r="O54" i="2" s="1"/>
  <c r="P53" i="2"/>
  <c r="P54" i="2" s="1"/>
  <c r="Q53" i="2"/>
  <c r="Q54" i="2" s="1"/>
  <c r="R53" i="2"/>
  <c r="R54" i="2" s="1"/>
  <c r="S53" i="2"/>
  <c r="S54" i="2" s="1"/>
  <c r="T53" i="2"/>
  <c r="T74" i="2" s="1"/>
  <c r="U53" i="2"/>
  <c r="V53" i="2"/>
  <c r="V74" i="2" s="1"/>
  <c r="W53" i="2"/>
  <c r="W75" i="2" s="1"/>
  <c r="W77" i="2" s="1"/>
  <c r="X53" i="2"/>
  <c r="X58" i="2" s="1"/>
  <c r="A53" i="2"/>
  <c r="A54" i="2" s="1"/>
  <c r="F54" i="2"/>
  <c r="R13" i="2"/>
  <c r="B33" i="2"/>
  <c r="B34" i="2" s="1"/>
  <c r="B38" i="2" s="1"/>
  <c r="B39" i="2" s="1"/>
  <c r="C33" i="2"/>
  <c r="D33" i="2"/>
  <c r="E33" i="2"/>
  <c r="E34" i="2" s="1"/>
  <c r="E38" i="2" s="1"/>
  <c r="E39" i="2" s="1"/>
  <c r="F33" i="2"/>
  <c r="F34" i="2" s="1"/>
  <c r="G33" i="2"/>
  <c r="H33" i="2"/>
  <c r="I33" i="2"/>
  <c r="J33" i="2"/>
  <c r="J34" i="2" s="1"/>
  <c r="J38" i="2" s="1"/>
  <c r="J39" i="2" s="1"/>
  <c r="K33" i="2"/>
  <c r="K34" i="2" s="1"/>
  <c r="K38" i="2" s="1"/>
  <c r="K39" i="2" s="1"/>
  <c r="L33" i="2"/>
  <c r="L34" i="2" s="1"/>
  <c r="M33" i="2"/>
  <c r="M34" i="2" s="1"/>
  <c r="M38" i="2" s="1"/>
  <c r="M39" i="2" s="1"/>
  <c r="N33" i="2"/>
  <c r="N34" i="2" s="1"/>
  <c r="O33" i="2"/>
  <c r="O34" i="2" s="1"/>
  <c r="P33" i="2"/>
  <c r="P34" i="2" s="1"/>
  <c r="Q33" i="2"/>
  <c r="R33" i="2"/>
  <c r="R34" i="2" s="1"/>
  <c r="S33" i="2"/>
  <c r="S34" i="2" s="1"/>
  <c r="T33" i="2"/>
  <c r="T34" i="2" s="1"/>
  <c r="U33" i="2"/>
  <c r="U34" i="2" s="1"/>
  <c r="V33" i="2"/>
  <c r="W33" i="2"/>
  <c r="W34" i="2" s="1"/>
  <c r="X33" i="2"/>
  <c r="X34" i="2" s="1"/>
  <c r="X38" i="2" s="1"/>
  <c r="X39" i="2" s="1"/>
  <c r="C34" i="2"/>
  <c r="D34" i="2"/>
  <c r="D38" i="2" s="1"/>
  <c r="D39" i="2" s="1"/>
  <c r="A33" i="2"/>
  <c r="B28" i="2"/>
  <c r="B29" i="2" s="1"/>
  <c r="B43" i="2" s="1"/>
  <c r="C28" i="2"/>
  <c r="C29" i="2" s="1"/>
  <c r="C43" i="2" s="1"/>
  <c r="C44" i="2" s="1"/>
  <c r="D28" i="2"/>
  <c r="D29" i="2" s="1"/>
  <c r="D43" i="2" s="1"/>
  <c r="E28" i="2"/>
  <c r="E29" i="2" s="1"/>
  <c r="E43" i="2" s="1"/>
  <c r="F28" i="2"/>
  <c r="F29" i="2" s="1"/>
  <c r="F43" i="2" s="1"/>
  <c r="G28" i="2"/>
  <c r="G29" i="2" s="1"/>
  <c r="G43" i="2" s="1"/>
  <c r="H28" i="2"/>
  <c r="H29" i="2" s="1"/>
  <c r="H43" i="2" s="1"/>
  <c r="I28" i="2"/>
  <c r="I29" i="2" s="1"/>
  <c r="I43" i="2" s="1"/>
  <c r="J28" i="2"/>
  <c r="J29" i="2" s="1"/>
  <c r="J43" i="2" s="1"/>
  <c r="K28" i="2"/>
  <c r="K29" i="2" s="1"/>
  <c r="K43" i="2" s="1"/>
  <c r="L28" i="2"/>
  <c r="L29" i="2" s="1"/>
  <c r="L43" i="2" s="1"/>
  <c r="M28" i="2"/>
  <c r="M29" i="2" s="1"/>
  <c r="M43" i="2" s="1"/>
  <c r="N28" i="2"/>
  <c r="N29" i="2" s="1"/>
  <c r="N43" i="2" s="1"/>
  <c r="O28" i="2"/>
  <c r="O29" i="2" s="1"/>
  <c r="O43" i="2" s="1"/>
  <c r="P28" i="2"/>
  <c r="P29" i="2" s="1"/>
  <c r="P43" i="2" s="1"/>
  <c r="Q28" i="2"/>
  <c r="Q29" i="2" s="1"/>
  <c r="Q43" i="2" s="1"/>
  <c r="R28" i="2"/>
  <c r="R29" i="2" s="1"/>
  <c r="R43" i="2" s="1"/>
  <c r="S28" i="2"/>
  <c r="S29" i="2" s="1"/>
  <c r="S43" i="2" s="1"/>
  <c r="T28" i="2"/>
  <c r="T29" i="2" s="1"/>
  <c r="T43" i="2" s="1"/>
  <c r="U28" i="2"/>
  <c r="U29" i="2" s="1"/>
  <c r="U43" i="2" s="1"/>
  <c r="V28" i="2"/>
  <c r="V29" i="2" s="1"/>
  <c r="V43" i="2" s="1"/>
  <c r="W28" i="2"/>
  <c r="W29" i="2" s="1"/>
  <c r="W43" i="2" s="1"/>
  <c r="X28" i="2"/>
  <c r="X29" i="2" s="1"/>
  <c r="X43" i="2" s="1"/>
  <c r="A28" i="2"/>
  <c r="A29" i="2" s="1"/>
  <c r="A43" i="2" s="1"/>
  <c r="H18" i="2"/>
  <c r="H19" i="2" s="1"/>
  <c r="H13" i="2" s="1"/>
  <c r="H8" i="2" s="1"/>
  <c r="I18" i="2"/>
  <c r="I19" i="2" s="1"/>
  <c r="I13" i="2" s="1"/>
  <c r="J18" i="2"/>
  <c r="J19" i="2" s="1"/>
  <c r="J13" i="2" s="1"/>
  <c r="K18" i="2"/>
  <c r="K19" i="2" s="1"/>
  <c r="K13" i="2" s="1"/>
  <c r="K8" i="2" s="1"/>
  <c r="L18" i="2"/>
  <c r="L19" i="2" s="1"/>
  <c r="L13" i="2" s="1"/>
  <c r="L8" i="2" s="1"/>
  <c r="M18" i="2"/>
  <c r="M19" i="2" s="1"/>
  <c r="M23" i="2" s="1"/>
  <c r="M24" i="2" s="1"/>
  <c r="N18" i="2"/>
  <c r="N19" i="2" s="1"/>
  <c r="N23" i="2" s="1"/>
  <c r="N24" i="2" s="1"/>
  <c r="O18" i="2"/>
  <c r="O19" i="2" s="1"/>
  <c r="O13" i="2" s="1"/>
  <c r="O8" i="2" s="1"/>
  <c r="O9" i="2" s="1"/>
  <c r="P18" i="2"/>
  <c r="P19" i="2" s="1"/>
  <c r="P23" i="2" s="1"/>
  <c r="P24" i="2" s="1"/>
  <c r="Q18" i="2"/>
  <c r="Q19" i="2" s="1"/>
  <c r="Q23" i="2" s="1"/>
  <c r="Q24" i="2" s="1"/>
  <c r="R18" i="2"/>
  <c r="R19" i="2" s="1"/>
  <c r="R23" i="2" s="1"/>
  <c r="R24" i="2" s="1"/>
  <c r="S18" i="2"/>
  <c r="S19" i="2" s="1"/>
  <c r="T18" i="2"/>
  <c r="T19" i="2" s="1"/>
  <c r="U18" i="2"/>
  <c r="U19" i="2" s="1"/>
  <c r="V18" i="2"/>
  <c r="V19" i="2" s="1"/>
  <c r="V23" i="2" s="1"/>
  <c r="V24" i="2" s="1"/>
  <c r="W18" i="2"/>
  <c r="W19" i="2" s="1"/>
  <c r="W13" i="2" s="1"/>
  <c r="W8" i="2" s="1"/>
  <c r="W9" i="2" s="1"/>
  <c r="X18" i="2"/>
  <c r="X19" i="2" s="1"/>
  <c r="X23" i="2" s="1"/>
  <c r="X24" i="2" s="1"/>
  <c r="B18" i="2"/>
  <c r="B19" i="2" s="1"/>
  <c r="B23" i="2" s="1"/>
  <c r="B24" i="2" s="1"/>
  <c r="C18" i="2"/>
  <c r="C19" i="2" s="1"/>
  <c r="C13" i="2" s="1"/>
  <c r="C8" i="2" s="1"/>
  <c r="C9" i="2" s="1"/>
  <c r="D18" i="2"/>
  <c r="D19" i="2" s="1"/>
  <c r="D13" i="2" s="1"/>
  <c r="D8" i="2" s="1"/>
  <c r="D9" i="2" s="1"/>
  <c r="E18" i="2"/>
  <c r="E19" i="2" s="1"/>
  <c r="E13" i="2" s="1"/>
  <c r="E8" i="2" s="1"/>
  <c r="E9" i="2" s="1"/>
  <c r="F18" i="2"/>
  <c r="F19" i="2" s="1"/>
  <c r="F13" i="2" s="1"/>
  <c r="F8" i="2" s="1"/>
  <c r="F9" i="2" s="1"/>
  <c r="G18" i="2"/>
  <c r="G19" i="2" s="1"/>
  <c r="G13" i="2" s="1"/>
  <c r="G8" i="2" s="1"/>
  <c r="A18" i="2"/>
  <c r="A19" i="2" s="1"/>
  <c r="A13" i="2" s="1"/>
  <c r="A8" i="2" s="1"/>
  <c r="A9" i="2" s="1"/>
  <c r="B4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A4" i="2"/>
  <c r="G23" i="1"/>
  <c r="G27" i="1" s="1"/>
  <c r="G29" i="1" s="1"/>
  <c r="G33" i="1" s="1"/>
  <c r="G35" i="1" s="1"/>
  <c r="G37" i="1" s="1"/>
  <c r="G39" i="1" s="1"/>
  <c r="H39" i="1"/>
  <c r="I39" i="1"/>
  <c r="O39" i="1"/>
  <c r="P39" i="1"/>
  <c r="R39" i="1"/>
  <c r="S39" i="1"/>
  <c r="T39" i="1"/>
  <c r="U39" i="1"/>
  <c r="X39" i="1"/>
  <c r="B23" i="1"/>
  <c r="C23" i="1"/>
  <c r="D23" i="1"/>
  <c r="E23" i="1"/>
  <c r="F23" i="1"/>
  <c r="H23" i="1"/>
  <c r="I23" i="1"/>
  <c r="J23" i="1"/>
  <c r="K23" i="1"/>
  <c r="K27" i="1" s="1"/>
  <c r="K29" i="1" s="1"/>
  <c r="K33" i="1" s="1"/>
  <c r="K35" i="1" s="1"/>
  <c r="K37" i="1" s="1"/>
  <c r="K39" i="1" s="1"/>
  <c r="L23" i="1"/>
  <c r="M23" i="1"/>
  <c r="M27" i="1" s="1"/>
  <c r="M29" i="1" s="1"/>
  <c r="M33" i="1" s="1"/>
  <c r="M35" i="1" s="1"/>
  <c r="M37" i="1" s="1"/>
  <c r="M39" i="1" s="1"/>
  <c r="N23" i="1"/>
  <c r="O23" i="1"/>
  <c r="P23" i="1"/>
  <c r="Q23" i="1"/>
  <c r="R23" i="1"/>
  <c r="S23" i="1"/>
  <c r="T23" i="1"/>
  <c r="U23" i="1"/>
  <c r="U27" i="1" s="1"/>
  <c r="U29" i="1" s="1"/>
  <c r="U33" i="1" s="1"/>
  <c r="U35" i="1" s="1"/>
  <c r="U37" i="1" s="1"/>
  <c r="V23" i="1"/>
  <c r="W23" i="1"/>
  <c r="W27" i="1" s="1"/>
  <c r="W29" i="1" s="1"/>
  <c r="X23" i="1"/>
  <c r="X27" i="1" s="1"/>
  <c r="X29" i="1" s="1"/>
  <c r="X33" i="1" s="1"/>
  <c r="X35" i="1" s="1"/>
  <c r="X37" i="1" s="1"/>
  <c r="Y23" i="1"/>
  <c r="Y27" i="1" s="1"/>
  <c r="Y29" i="1" s="1"/>
  <c r="Y33" i="1" s="1"/>
  <c r="Y35" i="1" s="1"/>
  <c r="Y37" i="1" s="1"/>
  <c r="Y39" i="1" s="1"/>
  <c r="A23" i="1"/>
  <c r="A27" i="1" s="1"/>
  <c r="A29" i="1" s="1"/>
  <c r="A33" i="1" s="1"/>
  <c r="A35" i="1" s="1"/>
  <c r="A37" i="1" s="1"/>
  <c r="A39" i="1" s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A21" i="1"/>
  <c r="Z4" i="1"/>
  <c r="Y31" i="1" s="1"/>
  <c r="V27" i="1"/>
  <c r="V29" i="1" s="1"/>
  <c r="V33" i="1" s="1"/>
  <c r="V35" i="1" s="1"/>
  <c r="V37" i="1" s="1"/>
  <c r="V39" i="1" s="1"/>
  <c r="J27" i="1"/>
  <c r="J29" i="1" s="1"/>
  <c r="J33" i="1" s="1"/>
  <c r="J35" i="1" s="1"/>
  <c r="J37" i="1" s="1"/>
  <c r="J39" i="1" s="1"/>
  <c r="L27" i="1"/>
  <c r="L29" i="1" s="1"/>
  <c r="N27" i="1"/>
  <c r="N29" i="1" s="1"/>
  <c r="N33" i="1" s="1"/>
  <c r="N35" i="1" s="1"/>
  <c r="N37" i="1" s="1"/>
  <c r="N39" i="1" s="1"/>
  <c r="O27" i="1"/>
  <c r="O29" i="1" s="1"/>
  <c r="O33" i="1" s="1"/>
  <c r="O35" i="1" s="1"/>
  <c r="O37" i="1" s="1"/>
  <c r="P27" i="1"/>
  <c r="P29" i="1" s="1"/>
  <c r="P33" i="1" s="1"/>
  <c r="P35" i="1" s="1"/>
  <c r="P37" i="1" s="1"/>
  <c r="Q27" i="1"/>
  <c r="Q29" i="1" s="1"/>
  <c r="R27" i="1"/>
  <c r="R29" i="1" s="1"/>
  <c r="R33" i="1" s="1"/>
  <c r="R35" i="1" s="1"/>
  <c r="R37" i="1" s="1"/>
  <c r="S27" i="1"/>
  <c r="S29" i="1" s="1"/>
  <c r="S33" i="1" s="1"/>
  <c r="S35" i="1" s="1"/>
  <c r="S37" i="1" s="1"/>
  <c r="T27" i="1"/>
  <c r="T29" i="1" s="1"/>
  <c r="T33" i="1" s="1"/>
  <c r="T35" i="1" s="1"/>
  <c r="T37" i="1" s="1"/>
  <c r="B27" i="1"/>
  <c r="B29" i="1" s="1"/>
  <c r="B33" i="1" s="1"/>
  <c r="B35" i="1" s="1"/>
  <c r="B37" i="1" s="1"/>
  <c r="B39" i="1" s="1"/>
  <c r="C27" i="1"/>
  <c r="C29" i="1" s="1"/>
  <c r="C33" i="1" s="1"/>
  <c r="C35" i="1" s="1"/>
  <c r="C37" i="1" s="1"/>
  <c r="C39" i="1" s="1"/>
  <c r="D27" i="1"/>
  <c r="D29" i="1" s="1"/>
  <c r="D33" i="1" s="1"/>
  <c r="D35" i="1" s="1"/>
  <c r="D37" i="1" s="1"/>
  <c r="D39" i="1" s="1"/>
  <c r="E27" i="1"/>
  <c r="E29" i="1" s="1"/>
  <c r="E33" i="1" s="1"/>
  <c r="E35" i="1" s="1"/>
  <c r="E37" i="1" s="1"/>
  <c r="E39" i="1" s="1"/>
  <c r="F27" i="1"/>
  <c r="F29" i="1" s="1"/>
  <c r="H27" i="1"/>
  <c r="H29" i="1" s="1"/>
  <c r="H33" i="1" s="1"/>
  <c r="H35" i="1" s="1"/>
  <c r="H37" i="1" s="1"/>
  <c r="I27" i="1"/>
  <c r="I29" i="1" s="1"/>
  <c r="I33" i="1" s="1"/>
  <c r="I35" i="1" s="1"/>
  <c r="I37" i="1" s="1"/>
  <c r="B4" i="1"/>
  <c r="A31" i="1" s="1"/>
  <c r="C4" i="1"/>
  <c r="B31" i="1" s="1"/>
  <c r="D4" i="1"/>
  <c r="C31" i="1" s="1"/>
  <c r="E4" i="1"/>
  <c r="D31" i="1" s="1"/>
  <c r="F4" i="1"/>
  <c r="E31" i="1" s="1"/>
  <c r="G4" i="1"/>
  <c r="F31" i="1" s="1"/>
  <c r="H4" i="1"/>
  <c r="G31" i="1" s="1"/>
  <c r="I4" i="1"/>
  <c r="H31" i="1" s="1"/>
  <c r="J4" i="1"/>
  <c r="I31" i="1" s="1"/>
  <c r="K4" i="1"/>
  <c r="J31" i="1" s="1"/>
  <c r="L4" i="1"/>
  <c r="K31" i="1" s="1"/>
  <c r="M4" i="1"/>
  <c r="L31" i="1" s="1"/>
  <c r="N4" i="1"/>
  <c r="M31" i="1" s="1"/>
  <c r="O4" i="1"/>
  <c r="N31" i="1" s="1"/>
  <c r="P4" i="1"/>
  <c r="O31" i="1" s="1"/>
  <c r="Q4" i="1"/>
  <c r="P31" i="1" s="1"/>
  <c r="R4" i="1"/>
  <c r="Q31" i="1" s="1"/>
  <c r="S4" i="1"/>
  <c r="R31" i="1" s="1"/>
  <c r="T4" i="1"/>
  <c r="S31" i="1" s="1"/>
  <c r="U4" i="1"/>
  <c r="T31" i="1" s="1"/>
  <c r="V4" i="1"/>
  <c r="U31" i="1" s="1"/>
  <c r="W4" i="1"/>
  <c r="V31" i="1" s="1"/>
  <c r="X4" i="1"/>
  <c r="W31" i="1" s="1"/>
  <c r="Y4" i="1"/>
  <c r="X31" i="1" s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A5" i="1"/>
  <c r="A4" i="1"/>
  <c r="W25" i="1" a="1"/>
  <c r="H7" i="1" a="1"/>
  <c r="O25" i="1" a="1"/>
  <c r="S7" i="1" a="1"/>
  <c r="D25" i="1" a="1"/>
  <c r="K25" i="1" a="1"/>
  <c r="K7" i="1" a="1"/>
  <c r="A7" i="1" a="1"/>
  <c r="U25" i="1" a="1"/>
  <c r="H25" i="1" a="1"/>
  <c r="C7" i="1" a="1"/>
  <c r="B25" i="1" a="1"/>
  <c r="Y7" i="1" a="1"/>
  <c r="Q25" i="1" a="1"/>
  <c r="Y25" i="1" a="1"/>
  <c r="G7" i="1" a="1"/>
  <c r="I25" i="1" a="1"/>
  <c r="L25" i="1" a="1"/>
  <c r="F25" i="1" a="1"/>
  <c r="T7" i="1" a="1"/>
  <c r="N25" i="1" a="1"/>
  <c r="G25" i="1" a="1"/>
  <c r="N7" i="1" a="1"/>
  <c r="R25" i="1" a="1"/>
  <c r="U7" i="1" a="1"/>
  <c r="W7" i="1" a="1"/>
  <c r="C25" i="1" a="1"/>
  <c r="B7" i="1" a="1"/>
  <c r="J25" i="1" a="1"/>
  <c r="P7" i="1" a="1"/>
  <c r="E25" i="1" a="1"/>
  <c r="S25" i="1" a="1"/>
  <c r="V7" i="1" a="1"/>
  <c r="M25" i="1" a="1"/>
  <c r="E7" i="1" a="1"/>
  <c r="L7" i="1" a="1"/>
  <c r="F7" i="1" a="1"/>
  <c r="X7" i="1" a="1"/>
  <c r="J7" i="1" a="1"/>
  <c r="I7" i="1" a="1"/>
  <c r="R7" i="1" a="1"/>
  <c r="O7" i="1" a="1"/>
  <c r="P25" i="1" a="1"/>
  <c r="M7" i="1" a="1"/>
  <c r="D7" i="1" a="1"/>
  <c r="X25" i="1" a="1"/>
  <c r="A25" i="1" a="1"/>
  <c r="Q7" i="1" a="1"/>
  <c r="V25" i="1" a="1"/>
  <c r="T25" i="1" a="1"/>
  <c r="X76" i="2" l="1"/>
  <c r="X81" i="2" s="1"/>
  <c r="W76" i="2"/>
  <c r="W82" i="2" s="1"/>
  <c r="L75" i="2"/>
  <c r="J75" i="2"/>
  <c r="M74" i="2"/>
  <c r="L74" i="2"/>
  <c r="O118" i="2"/>
  <c r="O119" i="2" s="1"/>
  <c r="E54" i="2"/>
  <c r="L123" i="2"/>
  <c r="L124" i="2" s="1"/>
  <c r="K123" i="2"/>
  <c r="K124" i="2" s="1"/>
  <c r="O113" i="2"/>
  <c r="O104" i="2" s="1"/>
  <c r="O105" i="2" s="1"/>
  <c r="J54" i="2"/>
  <c r="J123" i="2"/>
  <c r="J124" i="2" s="1"/>
  <c r="Q13" i="2"/>
  <c r="I123" i="2"/>
  <c r="I124" i="2" s="1"/>
  <c r="H74" i="2"/>
  <c r="C75" i="2"/>
  <c r="C77" i="2" s="1"/>
  <c r="G54" i="2"/>
  <c r="E76" i="2"/>
  <c r="E82" i="2" s="1"/>
  <c r="B75" i="2"/>
  <c r="B77" i="2" s="1"/>
  <c r="E74" i="2"/>
  <c r="C23" i="2"/>
  <c r="C24" i="2" s="1"/>
  <c r="W74" i="2"/>
  <c r="D23" i="2"/>
  <c r="D24" i="2" s="1"/>
  <c r="N58" i="2"/>
  <c r="N59" i="2" s="1"/>
  <c r="L81" i="2"/>
  <c r="H123" i="2"/>
  <c r="H124" i="2" s="1"/>
  <c r="E23" i="2"/>
  <c r="E24" i="2" s="1"/>
  <c r="K81" i="2"/>
  <c r="S74" i="2"/>
  <c r="G123" i="2"/>
  <c r="G124" i="2" s="1"/>
  <c r="G75" i="2"/>
  <c r="J81" i="2"/>
  <c r="R74" i="2"/>
  <c r="F123" i="2"/>
  <c r="F124" i="2" s="1"/>
  <c r="H54" i="2"/>
  <c r="D74" i="2"/>
  <c r="J79" i="2"/>
  <c r="P74" i="2"/>
  <c r="D123" i="2"/>
  <c r="D124" i="2" s="1"/>
  <c r="G74" i="2"/>
  <c r="G58" i="2"/>
  <c r="G59" i="2" s="1"/>
  <c r="H76" i="2"/>
  <c r="H82" i="2" s="1"/>
  <c r="L118" i="2"/>
  <c r="L119" i="2" s="1"/>
  <c r="D75" i="2"/>
  <c r="D79" i="2" s="1"/>
  <c r="D76" i="2"/>
  <c r="D81" i="2" s="1"/>
  <c r="V75" i="2"/>
  <c r="V79" i="2" s="1"/>
  <c r="C74" i="2"/>
  <c r="Q74" i="2"/>
  <c r="E123" i="2"/>
  <c r="E124" i="2" s="1"/>
  <c r="C54" i="2"/>
  <c r="O74" i="2"/>
  <c r="C123" i="2"/>
  <c r="C124" i="2" s="1"/>
  <c r="Q34" i="2"/>
  <c r="Q38" i="2" s="1"/>
  <c r="Q39" i="2" s="1"/>
  <c r="K118" i="2"/>
  <c r="K119" i="2" s="1"/>
  <c r="X75" i="2"/>
  <c r="X79" i="2" s="1"/>
  <c r="U54" i="2"/>
  <c r="U76" i="2"/>
  <c r="U82" i="2" s="1"/>
  <c r="U123" i="2"/>
  <c r="U124" i="2" s="1"/>
  <c r="T54" i="2"/>
  <c r="T75" i="2"/>
  <c r="T123" i="2"/>
  <c r="T124" i="2" s="1"/>
  <c r="T76" i="2"/>
  <c r="U58" i="2"/>
  <c r="U59" i="2" s="1"/>
  <c r="T58" i="2"/>
  <c r="T59" i="2" s="1"/>
  <c r="Q8" i="2"/>
  <c r="Q118" i="2"/>
  <c r="Q119" i="2" s="1"/>
  <c r="C58" i="2"/>
  <c r="C59" i="2" s="1"/>
  <c r="R8" i="2"/>
  <c r="R118" i="2"/>
  <c r="R119" i="2" s="1"/>
  <c r="D82" i="2"/>
  <c r="D77" i="2"/>
  <c r="D78" i="2"/>
  <c r="H78" i="2"/>
  <c r="H79" i="2"/>
  <c r="H80" i="2" s="1"/>
  <c r="L9" i="2"/>
  <c r="L113" i="2"/>
  <c r="L114" i="2" s="1"/>
  <c r="U75" i="2"/>
  <c r="U79" i="2" s="1"/>
  <c r="K9" i="2"/>
  <c r="K113" i="2"/>
  <c r="C81" i="2"/>
  <c r="C82" i="2"/>
  <c r="I81" i="2"/>
  <c r="I8" i="2"/>
  <c r="I118" i="2"/>
  <c r="I119" i="2" s="1"/>
  <c r="G9" i="2"/>
  <c r="G113" i="2"/>
  <c r="W54" i="2"/>
  <c r="W123" i="2"/>
  <c r="W124" i="2" s="1"/>
  <c r="J8" i="2"/>
  <c r="J118" i="2"/>
  <c r="J119" i="2" s="1"/>
  <c r="H9" i="2"/>
  <c r="H113" i="2"/>
  <c r="X54" i="2"/>
  <c r="X74" i="2"/>
  <c r="X123" i="2"/>
  <c r="X124" i="2" s="1"/>
  <c r="B76" i="2"/>
  <c r="B54" i="2"/>
  <c r="B123" i="2"/>
  <c r="B124" i="2" s="1"/>
  <c r="V54" i="2"/>
  <c r="V123" i="2"/>
  <c r="V124" i="2" s="1"/>
  <c r="V76" i="2"/>
  <c r="V82" i="2" s="1"/>
  <c r="U74" i="2"/>
  <c r="U80" i="2" s="1"/>
  <c r="M58" i="2"/>
  <c r="O76" i="2"/>
  <c r="M75" i="2"/>
  <c r="M77" i="2" s="1"/>
  <c r="K74" i="2"/>
  <c r="C118" i="2"/>
  <c r="C119" i="2" s="1"/>
  <c r="S58" i="2"/>
  <c r="S59" i="2" s="1"/>
  <c r="R58" i="2"/>
  <c r="R59" i="2" s="1"/>
  <c r="Q58" i="2"/>
  <c r="Q59" i="2" s="1"/>
  <c r="S76" i="2"/>
  <c r="Q75" i="2"/>
  <c r="Q79" i="2" s="1"/>
  <c r="G118" i="2"/>
  <c r="G119" i="2" s="1"/>
  <c r="P58" i="2"/>
  <c r="P59" i="2" s="1"/>
  <c r="P75" i="2"/>
  <c r="F118" i="2"/>
  <c r="F119" i="2" s="1"/>
  <c r="O58" i="2"/>
  <c r="O59" i="2" s="1"/>
  <c r="Q76" i="2"/>
  <c r="E118" i="2"/>
  <c r="E119" i="2" s="1"/>
  <c r="P76" i="2"/>
  <c r="N75" i="2"/>
  <c r="D118" i="2"/>
  <c r="D119" i="2" s="1"/>
  <c r="I34" i="2"/>
  <c r="J58" i="2" s="1"/>
  <c r="J59" i="2" s="1"/>
  <c r="L58" i="2"/>
  <c r="L59" i="2" s="1"/>
  <c r="N76" i="2"/>
  <c r="I54" i="2"/>
  <c r="K58" i="2"/>
  <c r="M76" i="2"/>
  <c r="K75" i="2"/>
  <c r="I74" i="2"/>
  <c r="W118" i="2"/>
  <c r="W119" i="2" s="1"/>
  <c r="K54" i="2"/>
  <c r="I75" i="2"/>
  <c r="F113" i="2"/>
  <c r="F114" i="2" s="1"/>
  <c r="F74" i="2"/>
  <c r="E113" i="2"/>
  <c r="S123" i="2"/>
  <c r="S124" i="2" s="1"/>
  <c r="S75" i="2"/>
  <c r="S79" i="2" s="1"/>
  <c r="H118" i="2"/>
  <c r="H119" i="2" s="1"/>
  <c r="D113" i="2"/>
  <c r="R123" i="2"/>
  <c r="R124" i="2" s="1"/>
  <c r="N54" i="2"/>
  <c r="F58" i="2"/>
  <c r="F59" i="2" s="1"/>
  <c r="F75" i="2"/>
  <c r="F77" i="2" s="1"/>
  <c r="C113" i="2"/>
  <c r="Q123" i="2"/>
  <c r="Q124" i="2" s="1"/>
  <c r="R75" i="2"/>
  <c r="R78" i="2" s="1"/>
  <c r="E58" i="2"/>
  <c r="E59" i="2" s="1"/>
  <c r="P123" i="2"/>
  <c r="P124" i="2" s="1"/>
  <c r="R76" i="2"/>
  <c r="O75" i="2"/>
  <c r="O78" i="2" s="1"/>
  <c r="P13" i="2"/>
  <c r="P14" i="2" s="1"/>
  <c r="D58" i="2"/>
  <c r="D59" i="2" s="1"/>
  <c r="W113" i="2"/>
  <c r="W104" i="2" s="1"/>
  <c r="O123" i="2"/>
  <c r="O124" i="2" s="1"/>
  <c r="O114" i="2"/>
  <c r="E78" i="2"/>
  <c r="V77" i="2"/>
  <c r="V80" i="2" s="1"/>
  <c r="G81" i="2"/>
  <c r="W78" i="2"/>
  <c r="U77" i="2"/>
  <c r="F81" i="2"/>
  <c r="V78" i="2"/>
  <c r="W79" i="2"/>
  <c r="W80" i="2" s="1"/>
  <c r="X82" i="2"/>
  <c r="E77" i="2"/>
  <c r="W81" i="2"/>
  <c r="W38" i="2"/>
  <c r="W39" i="2" s="1"/>
  <c r="C38" i="2"/>
  <c r="C39" i="2" s="1"/>
  <c r="K23" i="2"/>
  <c r="K24" i="2" s="1"/>
  <c r="I23" i="2"/>
  <c r="I24" i="2" s="1"/>
  <c r="F38" i="2"/>
  <c r="F39" i="2" s="1"/>
  <c r="J23" i="2"/>
  <c r="J24" i="2" s="1"/>
  <c r="O38" i="2"/>
  <c r="O39" i="2" s="1"/>
  <c r="L23" i="2"/>
  <c r="L24" i="2" s="1"/>
  <c r="W23" i="2"/>
  <c r="W24" i="2" s="1"/>
  <c r="H23" i="2"/>
  <c r="H24" i="2" s="1"/>
  <c r="G23" i="2"/>
  <c r="G24" i="2" s="1"/>
  <c r="M13" i="2"/>
  <c r="F23" i="2"/>
  <c r="F24" i="2" s="1"/>
  <c r="N13" i="2"/>
  <c r="H34" i="2"/>
  <c r="H38" i="2" s="1"/>
  <c r="H39" i="2" s="1"/>
  <c r="J44" i="2"/>
  <c r="J48" i="2" s="1"/>
  <c r="J49" i="2" s="1"/>
  <c r="U38" i="2"/>
  <c r="U39" i="2" s="1"/>
  <c r="V59" i="2"/>
  <c r="T38" i="2"/>
  <c r="T39" i="2" s="1"/>
  <c r="G48" i="2"/>
  <c r="G49" i="2" s="1"/>
  <c r="G44" i="2"/>
  <c r="S38" i="2"/>
  <c r="S39" i="2" s="1"/>
  <c r="E44" i="2"/>
  <c r="E48" i="2" s="1"/>
  <c r="E49" i="2" s="1"/>
  <c r="D44" i="2"/>
  <c r="D48" i="2" s="1"/>
  <c r="D49" i="2" s="1"/>
  <c r="L48" i="2"/>
  <c r="L49" i="2" s="1"/>
  <c r="L44" i="2"/>
  <c r="W48" i="2"/>
  <c r="W49" i="2" s="1"/>
  <c r="W44" i="2"/>
  <c r="V44" i="2"/>
  <c r="V48" i="2" s="1"/>
  <c r="V49" i="2" s="1"/>
  <c r="B48" i="2"/>
  <c r="B49" i="2" s="1"/>
  <c r="U44" i="2"/>
  <c r="U48" i="2"/>
  <c r="U49" i="2" s="1"/>
  <c r="O44" i="2"/>
  <c r="O48" i="2" s="1"/>
  <c r="O49" i="2" s="1"/>
  <c r="K44" i="2"/>
  <c r="K48" i="2"/>
  <c r="K49" i="2" s="1"/>
  <c r="I44" i="2"/>
  <c r="I48" i="2" s="1"/>
  <c r="I49" i="2" s="1"/>
  <c r="P44" i="2"/>
  <c r="P48" i="2" s="1"/>
  <c r="P49" i="2" s="1"/>
  <c r="M44" i="2"/>
  <c r="M48" i="2" s="1"/>
  <c r="M49" i="2" s="1"/>
  <c r="T44" i="2"/>
  <c r="T48" i="2" s="1"/>
  <c r="T49" i="2" s="1"/>
  <c r="H44" i="2"/>
  <c r="H48" i="2" s="1"/>
  <c r="H49" i="2" s="1"/>
  <c r="A48" i="2"/>
  <c r="A49" i="2" s="1"/>
  <c r="A44" i="2"/>
  <c r="F48" i="2"/>
  <c r="F49" i="2" s="1"/>
  <c r="F44" i="2"/>
  <c r="R38" i="2"/>
  <c r="R39" i="2" s="1"/>
  <c r="N44" i="2"/>
  <c r="N48" i="2" s="1"/>
  <c r="N49" i="2" s="1"/>
  <c r="X44" i="2"/>
  <c r="X48" i="2" s="1"/>
  <c r="X49" i="2" s="1"/>
  <c r="S44" i="2"/>
  <c r="S48" i="2" s="1"/>
  <c r="S49" i="2" s="1"/>
  <c r="R44" i="2"/>
  <c r="R48" i="2"/>
  <c r="R49" i="2" s="1"/>
  <c r="Q44" i="2"/>
  <c r="Q48" i="2"/>
  <c r="Q49" i="2" s="1"/>
  <c r="O14" i="2"/>
  <c r="K59" i="2"/>
  <c r="B13" i="2"/>
  <c r="X13" i="2"/>
  <c r="O23" i="2"/>
  <c r="O24" i="2" s="1"/>
  <c r="P38" i="2"/>
  <c r="P39" i="2" s="1"/>
  <c r="G34" i="2"/>
  <c r="G38" i="2" s="1"/>
  <c r="G39" i="2" s="1"/>
  <c r="V34" i="2"/>
  <c r="V38" i="2" s="1"/>
  <c r="V39" i="2" s="1"/>
  <c r="A14" i="2"/>
  <c r="C48" i="2"/>
  <c r="C49" i="2" s="1"/>
  <c r="B44" i="2"/>
  <c r="E14" i="2"/>
  <c r="N38" i="2"/>
  <c r="N39" i="2" s="1"/>
  <c r="S23" i="2"/>
  <c r="S24" i="2" s="1"/>
  <c r="S13" i="2"/>
  <c r="A34" i="2"/>
  <c r="A38" i="2" s="1"/>
  <c r="A39" i="2" s="1"/>
  <c r="A23" i="2"/>
  <c r="A24" i="2" s="1"/>
  <c r="X59" i="2"/>
  <c r="W14" i="2"/>
  <c r="R14" i="2"/>
  <c r="Q14" i="2"/>
  <c r="T13" i="2"/>
  <c r="U13" i="2"/>
  <c r="M59" i="2"/>
  <c r="V13" i="2"/>
  <c r="D14" i="2"/>
  <c r="T23" i="2"/>
  <c r="T24" i="2" s="1"/>
  <c r="L38" i="2"/>
  <c r="L39" i="2" s="1"/>
  <c r="U23" i="2"/>
  <c r="U24" i="2" s="1"/>
  <c r="C14" i="2"/>
  <c r="L14" i="2"/>
  <c r="K14" i="2"/>
  <c r="J14" i="2"/>
  <c r="I14" i="2"/>
  <c r="G14" i="2"/>
  <c r="H14" i="2"/>
  <c r="F14" i="2"/>
  <c r="U25" i="1"/>
  <c r="U16" i="1" s="1"/>
  <c r="O25" i="1"/>
  <c r="O16" i="1" s="1"/>
  <c r="T25" i="1"/>
  <c r="T16" i="1" s="1"/>
  <c r="N25" i="1"/>
  <c r="N16" i="1" s="1"/>
  <c r="H25" i="1"/>
  <c r="H16" i="1" s="1"/>
  <c r="B25" i="1"/>
  <c r="B16" i="1" s="1"/>
  <c r="Y25" i="1"/>
  <c r="Y16" i="1" s="1"/>
  <c r="S25" i="1"/>
  <c r="S16" i="1" s="1"/>
  <c r="M25" i="1"/>
  <c r="G25" i="1"/>
  <c r="I25" i="1"/>
  <c r="I16" i="1" s="1"/>
  <c r="R25" i="1"/>
  <c r="L25" i="1"/>
  <c r="L16" i="1" s="1"/>
  <c r="W25" i="1"/>
  <c r="W16" i="1" s="1"/>
  <c r="Q25" i="1"/>
  <c r="Q16" i="1" s="1"/>
  <c r="E25" i="1"/>
  <c r="E16" i="1" s="1"/>
  <c r="C25" i="1"/>
  <c r="C16" i="1" s="1"/>
  <c r="X25" i="1"/>
  <c r="F25" i="1"/>
  <c r="F16" i="1" s="1"/>
  <c r="K25" i="1"/>
  <c r="K16" i="1" s="1"/>
  <c r="V25" i="1"/>
  <c r="V16" i="1" s="1"/>
  <c r="P25" i="1"/>
  <c r="P16" i="1" s="1"/>
  <c r="J25" i="1"/>
  <c r="J16" i="1" s="1"/>
  <c r="D25" i="1"/>
  <c r="D16" i="1" s="1"/>
  <c r="A25" i="1"/>
  <c r="F33" i="1"/>
  <c r="F35" i="1" s="1"/>
  <c r="F37" i="1" s="1"/>
  <c r="F39" i="1" s="1"/>
  <c r="Q33" i="1"/>
  <c r="Q35" i="1" s="1"/>
  <c r="Q37" i="1" s="1"/>
  <c r="Q39" i="1" s="1"/>
  <c r="L33" i="1"/>
  <c r="L35" i="1" s="1"/>
  <c r="L37" i="1" s="1"/>
  <c r="L39" i="1" s="1"/>
  <c r="W33" i="1"/>
  <c r="W35" i="1" s="1"/>
  <c r="W37" i="1" s="1"/>
  <c r="W39" i="1" s="1"/>
  <c r="U7" i="1"/>
  <c r="I7" i="1"/>
  <c r="N7" i="1"/>
  <c r="H7" i="1"/>
  <c r="Y7" i="1"/>
  <c r="S7" i="1"/>
  <c r="M7" i="1"/>
  <c r="G7" i="1"/>
  <c r="T7" i="1"/>
  <c r="C7" i="1"/>
  <c r="R7" i="1"/>
  <c r="F7" i="1"/>
  <c r="Q7" i="1"/>
  <c r="E7" i="1"/>
  <c r="O7" i="1"/>
  <c r="X7" i="1"/>
  <c r="L7" i="1"/>
  <c r="W7" i="1"/>
  <c r="K7" i="1"/>
  <c r="V7" i="1"/>
  <c r="P7" i="1"/>
  <c r="J7" i="1"/>
  <c r="D7" i="1"/>
  <c r="B7" i="1"/>
  <c r="A7" i="1"/>
  <c r="B79" i="2" l="1"/>
  <c r="X78" i="2"/>
  <c r="X83" i="2" s="1"/>
  <c r="X84" i="2" s="1"/>
  <c r="X85" i="2" s="1"/>
  <c r="B78" i="2"/>
  <c r="H81" i="2"/>
  <c r="H83" i="2" s="1"/>
  <c r="H84" i="2" s="1"/>
  <c r="X77" i="2"/>
  <c r="X80" i="2" s="1"/>
  <c r="C79" i="2"/>
  <c r="C78" i="2"/>
  <c r="J77" i="2"/>
  <c r="J80" i="2" s="1"/>
  <c r="J78" i="2"/>
  <c r="B80" i="2"/>
  <c r="E80" i="2"/>
  <c r="L77" i="2"/>
  <c r="L80" i="2" s="1"/>
  <c r="L78" i="2"/>
  <c r="L83" i="2" s="1"/>
  <c r="L79" i="2"/>
  <c r="E81" i="2"/>
  <c r="E83" i="2" s="1"/>
  <c r="C80" i="2"/>
  <c r="C83" i="2" s="1"/>
  <c r="C84" i="2" s="1"/>
  <c r="F78" i="2"/>
  <c r="I38" i="2"/>
  <c r="I39" i="2" s="1"/>
  <c r="D80" i="2"/>
  <c r="D83" i="2" s="1"/>
  <c r="G79" i="2"/>
  <c r="G77" i="2"/>
  <c r="G78" i="2"/>
  <c r="F79" i="2"/>
  <c r="B58" i="2"/>
  <c r="U81" i="2"/>
  <c r="Q78" i="2"/>
  <c r="H58" i="2"/>
  <c r="V8" i="2"/>
  <c r="V118" i="2"/>
  <c r="V119" i="2" s="1"/>
  <c r="B8" i="2"/>
  <c r="B118" i="2"/>
  <c r="B119" i="2" s="1"/>
  <c r="T8" i="2"/>
  <c r="T118" i="2"/>
  <c r="T119" i="2" s="1"/>
  <c r="B82" i="2"/>
  <c r="B81" i="2"/>
  <c r="M8" i="2"/>
  <c r="M118" i="2"/>
  <c r="M119" i="2" s="1"/>
  <c r="R77" i="2"/>
  <c r="W114" i="2"/>
  <c r="E104" i="2"/>
  <c r="E114" i="2"/>
  <c r="N78" i="2"/>
  <c r="N79" i="2"/>
  <c r="X8" i="2"/>
  <c r="X118" i="2"/>
  <c r="X119" i="2" s="1"/>
  <c r="P81" i="2"/>
  <c r="P82" i="2"/>
  <c r="I9" i="2"/>
  <c r="I113" i="2"/>
  <c r="W105" i="2"/>
  <c r="Q81" i="2"/>
  <c r="Q82" i="2"/>
  <c r="N8" i="2"/>
  <c r="N118" i="2"/>
  <c r="N119" i="2" s="1"/>
  <c r="T81" i="2"/>
  <c r="T82" i="2"/>
  <c r="R81" i="2"/>
  <c r="R82" i="2"/>
  <c r="I78" i="2"/>
  <c r="I79" i="2"/>
  <c r="I77" i="2"/>
  <c r="F104" i="2"/>
  <c r="I58" i="2"/>
  <c r="I59" i="2" s="1"/>
  <c r="S81" i="2"/>
  <c r="S82" i="2"/>
  <c r="C104" i="2"/>
  <c r="C114" i="2"/>
  <c r="K77" i="2"/>
  <c r="K78" i="2"/>
  <c r="K79" i="2"/>
  <c r="R79" i="2"/>
  <c r="V81" i="2"/>
  <c r="V83" i="2" s="1"/>
  <c r="J9" i="2"/>
  <c r="J113" i="2"/>
  <c r="M78" i="2"/>
  <c r="M79" i="2"/>
  <c r="M80" i="2" s="1"/>
  <c r="Q77" i="2"/>
  <c r="Q80" i="2" s="1"/>
  <c r="J83" i="2"/>
  <c r="J84" i="2" s="1"/>
  <c r="J85" i="2" s="1"/>
  <c r="L104" i="2"/>
  <c r="D104" i="2"/>
  <c r="D114" i="2"/>
  <c r="N81" i="2"/>
  <c r="N82" i="2"/>
  <c r="O81" i="2"/>
  <c r="O82" i="2"/>
  <c r="T79" i="2"/>
  <c r="T78" i="2"/>
  <c r="M81" i="2"/>
  <c r="M82" i="2"/>
  <c r="S78" i="2"/>
  <c r="S8" i="2"/>
  <c r="S118" i="2"/>
  <c r="S119" i="2" s="1"/>
  <c r="N77" i="2"/>
  <c r="G104" i="2"/>
  <c r="G114" i="2"/>
  <c r="U8" i="2"/>
  <c r="U118" i="2"/>
  <c r="U119" i="2" s="1"/>
  <c r="P8" i="2"/>
  <c r="P118" i="2"/>
  <c r="P119" i="2" s="1"/>
  <c r="O79" i="2"/>
  <c r="O77" i="2"/>
  <c r="O80" i="2" s="1"/>
  <c r="P79" i="2"/>
  <c r="P77" i="2"/>
  <c r="K104" i="2"/>
  <c r="K114" i="2"/>
  <c r="H104" i="2"/>
  <c r="H114" i="2"/>
  <c r="P78" i="2"/>
  <c r="S77" i="2"/>
  <c r="S80" i="2" s="1"/>
  <c r="U78" i="2"/>
  <c r="U83" i="2" s="1"/>
  <c r="W58" i="2"/>
  <c r="W59" i="2" s="1"/>
  <c r="R9" i="2"/>
  <c r="R113" i="2"/>
  <c r="T77" i="2"/>
  <c r="Q9" i="2"/>
  <c r="Q113" i="2"/>
  <c r="F80" i="2"/>
  <c r="W83" i="2"/>
  <c r="W84" i="2"/>
  <c r="B59" i="2"/>
  <c r="N14" i="2"/>
  <c r="M14" i="2"/>
  <c r="H59" i="2"/>
  <c r="V14" i="2"/>
  <c r="X14" i="2"/>
  <c r="U14" i="2"/>
  <c r="B14" i="2"/>
  <c r="S14" i="2"/>
  <c r="T14" i="2"/>
  <c r="W18" i="1"/>
  <c r="S18" i="1"/>
  <c r="Y18" i="1"/>
  <c r="G16" i="1"/>
  <c r="G18" i="1" s="1"/>
  <c r="M16" i="1"/>
  <c r="M18" i="1" s="1"/>
  <c r="R16" i="1"/>
  <c r="R18" i="1" s="1"/>
  <c r="X16" i="1"/>
  <c r="X18" i="1" s="1"/>
  <c r="L18" i="1"/>
  <c r="F18" i="1"/>
  <c r="D18" i="1"/>
  <c r="B18" i="1"/>
  <c r="J18" i="1"/>
  <c r="C18" i="1"/>
  <c r="P18" i="1"/>
  <c r="T18" i="1"/>
  <c r="V18" i="1"/>
  <c r="K18" i="1"/>
  <c r="H18" i="1"/>
  <c r="O18" i="1"/>
  <c r="N18" i="1"/>
  <c r="E18" i="1"/>
  <c r="I18" i="1"/>
  <c r="Q18" i="1"/>
  <c r="U18" i="1"/>
  <c r="L84" i="2" l="1"/>
  <c r="L85" i="2" s="1"/>
  <c r="F83" i="2"/>
  <c r="C85" i="2"/>
  <c r="C86" i="2" s="1"/>
  <c r="Q83" i="2"/>
  <c r="S83" i="2"/>
  <c r="S84" i="2" s="1"/>
  <c r="G80" i="2"/>
  <c r="F84" i="2"/>
  <c r="O83" i="2"/>
  <c r="O84" i="2" s="1"/>
  <c r="H85" i="2"/>
  <c r="P80" i="2"/>
  <c r="I80" i="2"/>
  <c r="I83" i="2" s="1"/>
  <c r="I84" i="2" s="1"/>
  <c r="R80" i="2"/>
  <c r="R83" i="2" s="1"/>
  <c r="D84" i="2"/>
  <c r="D85" i="2" s="1"/>
  <c r="B83" i="2"/>
  <c r="B84" i="2" s="1"/>
  <c r="B85" i="2" s="1"/>
  <c r="X9" i="2"/>
  <c r="X113" i="2"/>
  <c r="P9" i="2"/>
  <c r="P113" i="2"/>
  <c r="M9" i="2"/>
  <c r="M113" i="2"/>
  <c r="U9" i="2"/>
  <c r="U113" i="2"/>
  <c r="M83" i="2"/>
  <c r="M84" i="2" s="1"/>
  <c r="D105" i="2"/>
  <c r="Q114" i="2"/>
  <c r="Q104" i="2"/>
  <c r="G105" i="2"/>
  <c r="N9" i="2"/>
  <c r="N113" i="2"/>
  <c r="T9" i="2"/>
  <c r="T113" i="2"/>
  <c r="C105" i="2"/>
  <c r="F105" i="2"/>
  <c r="J114" i="2"/>
  <c r="J104" i="2"/>
  <c r="N80" i="2"/>
  <c r="T80" i="2"/>
  <c r="T83" i="2" s="1"/>
  <c r="T84" i="2" s="1"/>
  <c r="T85" i="2" s="1"/>
  <c r="B9" i="2"/>
  <c r="B113" i="2"/>
  <c r="P83" i="2"/>
  <c r="P84" i="2" s="1"/>
  <c r="H105" i="2"/>
  <c r="K105" i="2"/>
  <c r="E105" i="2"/>
  <c r="L105" i="2"/>
  <c r="J86" i="2"/>
  <c r="J88" i="2" s="1"/>
  <c r="J93" i="2" s="1"/>
  <c r="R104" i="2"/>
  <c r="R114" i="2"/>
  <c r="S9" i="2"/>
  <c r="S113" i="2"/>
  <c r="V9" i="2"/>
  <c r="V113" i="2"/>
  <c r="I104" i="2"/>
  <c r="I114" i="2"/>
  <c r="K80" i="2"/>
  <c r="K83" i="2" s="1"/>
  <c r="L86" i="2"/>
  <c r="L88" i="2" s="1"/>
  <c r="L93" i="2" s="1"/>
  <c r="D86" i="2"/>
  <c r="D88" i="2" s="1"/>
  <c r="D93" i="2" s="1"/>
  <c r="X86" i="2"/>
  <c r="X88" i="2"/>
  <c r="X93" i="2" s="1"/>
  <c r="H86" i="2"/>
  <c r="H88" i="2" s="1"/>
  <c r="H93" i="2" s="1"/>
  <c r="C88" i="2"/>
  <c r="C93" i="2" s="1"/>
  <c r="O85" i="2"/>
  <c r="F85" i="2"/>
  <c r="S85" i="2"/>
  <c r="W85" i="2"/>
  <c r="E84" i="2"/>
  <c r="E85" i="2" s="1"/>
  <c r="V84" i="2"/>
  <c r="V85" i="2" s="1"/>
  <c r="U84" i="2"/>
  <c r="R84" i="2"/>
  <c r="Q84" i="2"/>
  <c r="Q85" i="2" s="1"/>
  <c r="G83" i="2" l="1"/>
  <c r="S86" i="2"/>
  <c r="J89" i="2"/>
  <c r="J69" i="2"/>
  <c r="M85" i="2"/>
  <c r="M86" i="2" s="1"/>
  <c r="L98" i="2"/>
  <c r="L94" i="2"/>
  <c r="J105" i="2"/>
  <c r="P104" i="2"/>
  <c r="P114" i="2"/>
  <c r="V114" i="2"/>
  <c r="V104" i="2"/>
  <c r="D98" i="2"/>
  <c r="D94" i="2"/>
  <c r="Q105" i="2"/>
  <c r="U104" i="2"/>
  <c r="U114" i="2"/>
  <c r="N83" i="2"/>
  <c r="N84" i="2"/>
  <c r="X104" i="2"/>
  <c r="X114" i="2"/>
  <c r="C98" i="2"/>
  <c r="C94" i="2"/>
  <c r="B104" i="2"/>
  <c r="B114" i="2"/>
  <c r="K84" i="2"/>
  <c r="K85" i="2" s="1"/>
  <c r="I105" i="2"/>
  <c r="S104" i="2"/>
  <c r="S114" i="2"/>
  <c r="P86" i="2"/>
  <c r="P88" i="2" s="1"/>
  <c r="P93" i="2" s="1"/>
  <c r="B86" i="2"/>
  <c r="B88" i="2"/>
  <c r="H98" i="2"/>
  <c r="H94" i="2"/>
  <c r="T114" i="2"/>
  <c r="T104" i="2"/>
  <c r="M114" i="2"/>
  <c r="M104" i="2"/>
  <c r="X98" i="2"/>
  <c r="X99" i="2" s="1"/>
  <c r="X94" i="2"/>
  <c r="I85" i="2"/>
  <c r="I86" i="2" s="1"/>
  <c r="J98" i="2"/>
  <c r="J99" i="2" s="1"/>
  <c r="J94" i="2"/>
  <c r="N114" i="2"/>
  <c r="N104" i="2"/>
  <c r="P85" i="2"/>
  <c r="R105" i="2"/>
  <c r="H89" i="2"/>
  <c r="H69" i="2"/>
  <c r="D69" i="2"/>
  <c r="D89" i="2"/>
  <c r="L89" i="2"/>
  <c r="L69" i="2"/>
  <c r="C69" i="2"/>
  <c r="C89" i="2"/>
  <c r="X89" i="2"/>
  <c r="X69" i="2"/>
  <c r="R85" i="2"/>
  <c r="J70" i="2"/>
  <c r="J63" i="2"/>
  <c r="W86" i="2"/>
  <c r="W88" i="2" s="1"/>
  <c r="W93" i="2" s="1"/>
  <c r="S88" i="2"/>
  <c r="S93" i="2" s="1"/>
  <c r="O86" i="2"/>
  <c r="O88" i="2" s="1"/>
  <c r="O93" i="2" s="1"/>
  <c r="F86" i="2"/>
  <c r="F88" i="2"/>
  <c r="F93" i="2" s="1"/>
  <c r="Q86" i="2"/>
  <c r="Q88" i="2" s="1"/>
  <c r="Q93" i="2" s="1"/>
  <c r="E86" i="2"/>
  <c r="E88" i="2" s="1"/>
  <c r="E93" i="2" s="1"/>
  <c r="V86" i="2"/>
  <c r="V88" i="2" s="1"/>
  <c r="V93" i="2" s="1"/>
  <c r="U85" i="2"/>
  <c r="T86" i="2"/>
  <c r="T88" i="2" s="1"/>
  <c r="T93" i="2" s="1"/>
  <c r="G84" i="2" l="1"/>
  <c r="G85" i="2" s="1"/>
  <c r="W94" i="2"/>
  <c r="W98" i="2"/>
  <c r="C99" i="2"/>
  <c r="C100" i="2"/>
  <c r="H99" i="2"/>
  <c r="H100" i="2"/>
  <c r="P94" i="2"/>
  <c r="P98" i="2"/>
  <c r="P99" i="2" s="1"/>
  <c r="S105" i="2"/>
  <c r="V105" i="2"/>
  <c r="F98" i="2"/>
  <c r="F94" i="2"/>
  <c r="T105" i="2"/>
  <c r="U105" i="2"/>
  <c r="O98" i="2"/>
  <c r="O94" i="2"/>
  <c r="P105" i="2"/>
  <c r="T98" i="2"/>
  <c r="T99" i="2" s="1"/>
  <c r="T94" i="2"/>
  <c r="M105" i="2"/>
  <c r="B93" i="2"/>
  <c r="B69" i="2"/>
  <c r="B89" i="2"/>
  <c r="P69" i="2"/>
  <c r="P70" i="2" s="1"/>
  <c r="P89" i="2"/>
  <c r="S94" i="2"/>
  <c r="S98" i="2"/>
  <c r="S99" i="2" s="1"/>
  <c r="K86" i="2"/>
  <c r="K88" i="2" s="1"/>
  <c r="E98" i="2"/>
  <c r="E94" i="2"/>
  <c r="Q98" i="2"/>
  <c r="Q94" i="2"/>
  <c r="X105" i="2"/>
  <c r="X100" i="2"/>
  <c r="N85" i="2"/>
  <c r="D99" i="2"/>
  <c r="D100" i="2"/>
  <c r="N105" i="2"/>
  <c r="J100" i="2"/>
  <c r="B105" i="2"/>
  <c r="L99" i="2"/>
  <c r="L100" i="2"/>
  <c r="I88" i="2"/>
  <c r="V98" i="2"/>
  <c r="V99" i="2" s="1"/>
  <c r="V94" i="2"/>
  <c r="M88" i="2"/>
  <c r="Q89" i="2"/>
  <c r="Q69" i="2"/>
  <c r="T89" i="2"/>
  <c r="T69" i="2"/>
  <c r="E69" i="2"/>
  <c r="E89" i="2"/>
  <c r="V89" i="2"/>
  <c r="V69" i="2"/>
  <c r="O69" i="2"/>
  <c r="O89" i="2"/>
  <c r="J64" i="2"/>
  <c r="J65" i="2"/>
  <c r="S89" i="2"/>
  <c r="S69" i="2"/>
  <c r="L63" i="2"/>
  <c r="L70" i="2"/>
  <c r="F69" i="2"/>
  <c r="F89" i="2"/>
  <c r="C63" i="2"/>
  <c r="C70" i="2"/>
  <c r="D63" i="2"/>
  <c r="D70" i="2"/>
  <c r="U86" i="2"/>
  <c r="U88" i="2"/>
  <c r="U93" i="2" s="1"/>
  <c r="X70" i="2"/>
  <c r="X63" i="2"/>
  <c r="W89" i="2"/>
  <c r="W69" i="2"/>
  <c r="R86" i="2"/>
  <c r="R88" i="2" s="1"/>
  <c r="R93" i="2" s="1"/>
  <c r="H63" i="2"/>
  <c r="H70" i="2"/>
  <c r="G86" i="2" l="1"/>
  <c r="G88" i="2" s="1"/>
  <c r="T100" i="2"/>
  <c r="K93" i="2"/>
  <c r="K89" i="2"/>
  <c r="K69" i="2"/>
  <c r="O100" i="2"/>
  <c r="O99" i="2"/>
  <c r="Q99" i="2"/>
  <c r="Q100" i="2"/>
  <c r="I93" i="2"/>
  <c r="I89" i="2"/>
  <c r="I69" i="2"/>
  <c r="N88" i="2"/>
  <c r="M93" i="2"/>
  <c r="M89" i="2"/>
  <c r="M69" i="2"/>
  <c r="B70" i="2"/>
  <c r="B63" i="2"/>
  <c r="B94" i="2"/>
  <c r="B98" i="2"/>
  <c r="E99" i="2"/>
  <c r="E100" i="2"/>
  <c r="S100" i="2"/>
  <c r="R98" i="2"/>
  <c r="R94" i="2"/>
  <c r="V100" i="2"/>
  <c r="P63" i="2"/>
  <c r="P65" i="2" s="1"/>
  <c r="F99" i="2"/>
  <c r="F100" i="2"/>
  <c r="N86" i="2"/>
  <c r="U98" i="2"/>
  <c r="U94" i="2"/>
  <c r="W99" i="2"/>
  <c r="W100" i="2"/>
  <c r="P100" i="2"/>
  <c r="R89" i="2"/>
  <c r="R69" i="2"/>
  <c r="L65" i="2"/>
  <c r="L64" i="2"/>
  <c r="E63" i="2"/>
  <c r="E70" i="2"/>
  <c r="S70" i="2"/>
  <c r="S63" i="2"/>
  <c r="W70" i="2"/>
  <c r="W63" i="2"/>
  <c r="X65" i="2"/>
  <c r="X64" i="2"/>
  <c r="U89" i="2"/>
  <c r="U69" i="2"/>
  <c r="O70" i="2"/>
  <c r="O63" i="2"/>
  <c r="V70" i="2"/>
  <c r="V63" i="2"/>
  <c r="D64" i="2"/>
  <c r="D65" i="2"/>
  <c r="C64" i="2"/>
  <c r="C65" i="2"/>
  <c r="T70" i="2"/>
  <c r="T63" i="2"/>
  <c r="F63" i="2"/>
  <c r="F70" i="2"/>
  <c r="Q70" i="2"/>
  <c r="Q63" i="2"/>
  <c r="H64" i="2"/>
  <c r="H65" i="2"/>
  <c r="G93" i="2" l="1"/>
  <c r="G89" i="2"/>
  <c r="G69" i="2"/>
  <c r="P64" i="2"/>
  <c r="M94" i="2"/>
  <c r="M98" i="2"/>
  <c r="N93" i="2"/>
  <c r="N89" i="2"/>
  <c r="N69" i="2"/>
  <c r="I63" i="2"/>
  <c r="I70" i="2"/>
  <c r="B65" i="2"/>
  <c r="B64" i="2"/>
  <c r="U99" i="2"/>
  <c r="U100" i="2"/>
  <c r="R99" i="2"/>
  <c r="R100" i="2"/>
  <c r="M70" i="2"/>
  <c r="M63" i="2"/>
  <c r="I98" i="2"/>
  <c r="I94" i="2"/>
  <c r="B99" i="2"/>
  <c r="B100" i="2"/>
  <c r="K70" i="2"/>
  <c r="K63" i="2"/>
  <c r="K94" i="2"/>
  <c r="K98" i="2"/>
  <c r="W65" i="2"/>
  <c r="W64" i="2"/>
  <c r="S64" i="2"/>
  <c r="S65" i="2"/>
  <c r="E64" i="2"/>
  <c r="E65" i="2"/>
  <c r="V64" i="2"/>
  <c r="V65" i="2"/>
  <c r="F64" i="2"/>
  <c r="F65" i="2"/>
  <c r="Q64" i="2"/>
  <c r="Q65" i="2"/>
  <c r="T65" i="2"/>
  <c r="T64" i="2"/>
  <c r="O65" i="2"/>
  <c r="O64" i="2"/>
  <c r="U70" i="2"/>
  <c r="U63" i="2"/>
  <c r="R70" i="2"/>
  <c r="R63" i="2"/>
  <c r="G70" i="2" l="1"/>
  <c r="G63" i="2"/>
  <c r="G98" i="2"/>
  <c r="G94" i="2"/>
  <c r="I99" i="2"/>
  <c r="I100" i="2"/>
  <c r="I65" i="2"/>
  <c r="I64" i="2"/>
  <c r="N70" i="2"/>
  <c r="N63" i="2"/>
  <c r="N94" i="2"/>
  <c r="N98" i="2"/>
  <c r="K64" i="2"/>
  <c r="K65" i="2"/>
  <c r="M64" i="2"/>
  <c r="M65" i="2"/>
  <c r="M99" i="2"/>
  <c r="M100" i="2"/>
  <c r="K99" i="2"/>
  <c r="K100" i="2"/>
  <c r="R65" i="2"/>
  <c r="R64" i="2"/>
  <c r="U64" i="2"/>
  <c r="U65" i="2"/>
  <c r="G100" i="2" l="1"/>
  <c r="G99" i="2"/>
  <c r="G64" i="2"/>
  <c r="G65" i="2"/>
  <c r="N99" i="2"/>
  <c r="N100" i="2"/>
  <c r="N64" i="2"/>
  <c r="N6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<sst xmlns="http://schemas.openxmlformats.org/spreadsheetml/2006/main" count="209" uniqueCount="76">
  <si>
    <t>사순주일</t>
  </si>
  <si>
    <t>부활주일</t>
  </si>
  <si>
    <t>대림주일</t>
  </si>
  <si>
    <t>성탄주일</t>
  </si>
  <si>
    <t>성탄절 요일</t>
  </si>
  <si>
    <t>일요일</t>
  </si>
  <si>
    <t>월요일</t>
  </si>
  <si>
    <t>화요일</t>
  </si>
  <si>
    <t>수요일</t>
  </si>
  <si>
    <t>목요일</t>
  </si>
  <si>
    <t>금요일</t>
  </si>
  <si>
    <t>토요일</t>
  </si>
  <si>
    <t>성가정축일</t>
  </si>
  <si>
    <t>성가정축일의 요일</t>
  </si>
  <si>
    <t>다음해 천주 성모 대축일 요일</t>
  </si>
  <si>
    <t>다음해 주님 공현 대축일</t>
  </si>
  <si>
    <t>연중주일</t>
  </si>
  <si>
    <t>다음해 주님 세례 축일</t>
  </si>
  <si>
    <t>주님 세례 축일 요일</t>
  </si>
  <si>
    <t>성탄부터 연말까지 주수</t>
  </si>
  <si>
    <t>성탄절</t>
  </si>
  <si>
    <t>다음 연초 성탄 주수</t>
  </si>
  <si>
    <t>대림 시기 계산</t>
  </si>
  <si>
    <t>대림 제1주일</t>
  </si>
  <si>
    <t>대림 제4주일</t>
  </si>
  <si>
    <t>주님 성탄</t>
  </si>
  <si>
    <t>성탄 직전 주일</t>
  </si>
  <si>
    <t>기준</t>
  </si>
  <si>
    <t>성탄 직전 주일 3주 전</t>
  </si>
  <si>
    <t>성가정 축일</t>
  </si>
  <si>
    <t>성탄이 주일이면 12월 30일</t>
  </si>
  <si>
    <t>아니면 성탄 다음 주일</t>
  </si>
  <si>
    <t>다음해 천주의 성모 마리아 대축일</t>
  </si>
  <si>
    <t>(의무 축일일 때)</t>
  </si>
  <si>
    <t>(주님 공현이 의무 축일일 때)</t>
  </si>
  <si>
    <t>주님 공현 다음 주일</t>
  </si>
  <si>
    <t>1월 6일 (고정)</t>
  </si>
  <si>
    <t>(의무 아닌 때)</t>
  </si>
  <si>
    <t>1월 2일부터 8일 사이에 오는 주일</t>
  </si>
  <si>
    <t>= 천주 성모 마리아 대축일 다음 주일</t>
  </si>
  <si>
    <t>(주님 공현이 의무 아닌 때)</t>
  </si>
  <si>
    <t>1월 6일 다음 주일 / 1월 7,8일 바로 다음 월요일</t>
  </si>
  <si>
    <t>연중 시기 계산</t>
  </si>
  <si>
    <t>연중 제1주일</t>
  </si>
  <si>
    <t>(실존하지 않는 가상의 연중 시기 시작 주일)</t>
  </si>
  <si>
    <t>주님 공현 다음 주일 / 1월 7,8일 (주님 세례가 월요일인 경우))</t>
  </si>
  <si>
    <t>연중 시기 첫째 부분 마지막 주일</t>
  </si>
  <si>
    <t>재의 수요일</t>
  </si>
  <si>
    <t>재의 수요일 전 주일</t>
  </si>
  <si>
    <t>주님 부활</t>
  </si>
  <si>
    <t>Meeus et al. 알고리즘</t>
  </si>
  <si>
    <r>
      <t>int</t>
    </r>
    <r>
      <rPr>
        <sz val="10"/>
        <color rgb="FF000000"/>
        <rFont val="Consolas"/>
        <family val="3"/>
      </rPr>
      <t xml:space="preserve"> </t>
    </r>
    <r>
      <rPr>
        <sz val="10"/>
        <color rgb="FF6A3E3E"/>
        <rFont val="Consolas"/>
        <family val="3"/>
      </rPr>
      <t>a</t>
    </r>
    <r>
      <rPr>
        <sz val="10"/>
        <color rgb="FF000000"/>
        <rFont val="Consolas"/>
        <family val="3"/>
      </rPr>
      <t xml:space="preserve"> = </t>
    </r>
    <r>
      <rPr>
        <sz val="10"/>
        <color rgb="FF6A3E3E"/>
        <rFont val="Consolas"/>
        <family val="3"/>
      </rPr>
      <t>year</t>
    </r>
    <r>
      <rPr>
        <sz val="10"/>
        <color rgb="FF000000"/>
        <rFont val="Consolas"/>
        <family val="3"/>
      </rPr>
      <t xml:space="preserve"> % 19;</t>
    </r>
  </si>
  <si>
    <r>
      <t>int</t>
    </r>
    <r>
      <rPr>
        <sz val="10"/>
        <color rgb="FF000000"/>
        <rFont val="Consolas"/>
        <family val="3"/>
      </rPr>
      <t xml:space="preserve"> </t>
    </r>
    <r>
      <rPr>
        <sz val="10"/>
        <color rgb="FF6A3E3E"/>
        <rFont val="Consolas"/>
        <family val="3"/>
      </rPr>
      <t>b</t>
    </r>
    <r>
      <rPr>
        <sz val="10"/>
        <color rgb="FF000000"/>
        <rFont val="Consolas"/>
        <family val="3"/>
      </rPr>
      <t xml:space="preserve"> = </t>
    </r>
    <r>
      <rPr>
        <sz val="10"/>
        <color rgb="FF6A3E3E"/>
        <rFont val="Consolas"/>
        <family val="3"/>
      </rPr>
      <t>year</t>
    </r>
    <r>
      <rPr>
        <sz val="10"/>
        <color rgb="FF000000"/>
        <rFont val="Consolas"/>
        <family val="3"/>
      </rPr>
      <t xml:space="preserve"> / 100;</t>
    </r>
  </si>
  <si>
    <r>
      <t>int</t>
    </r>
    <r>
      <rPr>
        <sz val="10"/>
        <color rgb="FF000000"/>
        <rFont val="Consolas"/>
        <family val="3"/>
      </rPr>
      <t xml:space="preserve"> </t>
    </r>
    <r>
      <rPr>
        <sz val="10"/>
        <color rgb="FF6A3E3E"/>
        <rFont val="Consolas"/>
        <family val="3"/>
      </rPr>
      <t>c</t>
    </r>
    <r>
      <rPr>
        <sz val="10"/>
        <color rgb="FF000000"/>
        <rFont val="Consolas"/>
        <family val="3"/>
      </rPr>
      <t xml:space="preserve"> = </t>
    </r>
    <r>
      <rPr>
        <sz val="10"/>
        <color rgb="FF6A3E3E"/>
        <rFont val="Consolas"/>
        <family val="3"/>
      </rPr>
      <t>year</t>
    </r>
    <r>
      <rPr>
        <sz val="10"/>
        <color rgb="FF000000"/>
        <rFont val="Consolas"/>
        <family val="3"/>
      </rPr>
      <t xml:space="preserve"> % 100;</t>
    </r>
  </si>
  <si>
    <r>
      <t>int</t>
    </r>
    <r>
      <rPr>
        <sz val="10"/>
        <color rgb="FF000000"/>
        <rFont val="Consolas"/>
        <family val="3"/>
      </rPr>
      <t xml:space="preserve"> </t>
    </r>
    <r>
      <rPr>
        <sz val="10"/>
        <color rgb="FF6A3E3E"/>
        <rFont val="Consolas"/>
        <family val="3"/>
      </rPr>
      <t>d</t>
    </r>
    <r>
      <rPr>
        <sz val="10"/>
        <color rgb="FF000000"/>
        <rFont val="Consolas"/>
        <family val="3"/>
      </rPr>
      <t xml:space="preserve"> = </t>
    </r>
    <r>
      <rPr>
        <sz val="10"/>
        <color rgb="FF6A3E3E"/>
        <rFont val="Consolas"/>
        <family val="3"/>
      </rPr>
      <t>b</t>
    </r>
    <r>
      <rPr>
        <sz val="10"/>
        <color rgb="FF000000"/>
        <rFont val="Consolas"/>
        <family val="3"/>
      </rPr>
      <t xml:space="preserve"> / 4;</t>
    </r>
  </si>
  <si>
    <r>
      <t>int</t>
    </r>
    <r>
      <rPr>
        <sz val="10"/>
        <color rgb="FF000000"/>
        <rFont val="Consolas"/>
        <family val="3"/>
      </rPr>
      <t xml:space="preserve"> </t>
    </r>
    <r>
      <rPr>
        <sz val="10"/>
        <color rgb="FF6A3E3E"/>
        <rFont val="Consolas"/>
        <family val="3"/>
      </rPr>
      <t>e</t>
    </r>
    <r>
      <rPr>
        <sz val="10"/>
        <color rgb="FF000000"/>
        <rFont val="Consolas"/>
        <family val="3"/>
      </rPr>
      <t xml:space="preserve"> = </t>
    </r>
    <r>
      <rPr>
        <sz val="10"/>
        <color rgb="FF6A3E3E"/>
        <rFont val="Consolas"/>
        <family val="3"/>
      </rPr>
      <t>b</t>
    </r>
    <r>
      <rPr>
        <sz val="10"/>
        <color rgb="FF000000"/>
        <rFont val="Consolas"/>
        <family val="3"/>
      </rPr>
      <t xml:space="preserve"> % 4;</t>
    </r>
  </si>
  <si>
    <r>
      <t>int</t>
    </r>
    <r>
      <rPr>
        <sz val="10"/>
        <color rgb="FF000000"/>
        <rFont val="Consolas"/>
        <family val="3"/>
      </rPr>
      <t xml:space="preserve"> </t>
    </r>
    <r>
      <rPr>
        <sz val="10"/>
        <color rgb="FF6A3E3E"/>
        <rFont val="Consolas"/>
        <family val="3"/>
      </rPr>
      <t>g</t>
    </r>
    <r>
      <rPr>
        <sz val="10"/>
        <color rgb="FF000000"/>
        <rFont val="Consolas"/>
        <family val="3"/>
      </rPr>
      <t xml:space="preserve"> = (8 * </t>
    </r>
    <r>
      <rPr>
        <sz val="10"/>
        <color rgb="FF6A3E3E"/>
        <rFont val="Consolas"/>
        <family val="3"/>
      </rPr>
      <t>b</t>
    </r>
    <r>
      <rPr>
        <sz val="10"/>
        <color rgb="FF000000"/>
        <rFont val="Consolas"/>
        <family val="3"/>
      </rPr>
      <t xml:space="preserve"> + 13) / 25;</t>
    </r>
  </si>
  <si>
    <r>
      <t>int</t>
    </r>
    <r>
      <rPr>
        <sz val="10"/>
        <color rgb="FF000000"/>
        <rFont val="Consolas"/>
        <family val="3"/>
      </rPr>
      <t xml:space="preserve"> </t>
    </r>
    <r>
      <rPr>
        <sz val="10"/>
        <color rgb="FF6A3E3E"/>
        <rFont val="Consolas"/>
        <family val="3"/>
      </rPr>
      <t>h</t>
    </r>
    <r>
      <rPr>
        <sz val="10"/>
        <color rgb="FF000000"/>
        <rFont val="Consolas"/>
        <family val="3"/>
      </rPr>
      <t xml:space="preserve"> = (19 * </t>
    </r>
    <r>
      <rPr>
        <sz val="10"/>
        <color rgb="FF6A3E3E"/>
        <rFont val="Consolas"/>
        <family val="3"/>
      </rPr>
      <t>a</t>
    </r>
    <r>
      <rPr>
        <sz val="10"/>
        <color rgb="FF000000"/>
        <rFont val="Consolas"/>
        <family val="3"/>
      </rPr>
      <t xml:space="preserve"> + </t>
    </r>
    <r>
      <rPr>
        <sz val="10"/>
        <color rgb="FF6A3E3E"/>
        <rFont val="Consolas"/>
        <family val="3"/>
      </rPr>
      <t>b</t>
    </r>
    <r>
      <rPr>
        <sz val="10"/>
        <color rgb="FF000000"/>
        <rFont val="Consolas"/>
        <family val="3"/>
      </rPr>
      <t xml:space="preserve"> - </t>
    </r>
    <r>
      <rPr>
        <sz val="10"/>
        <color rgb="FF6A3E3E"/>
        <rFont val="Consolas"/>
        <family val="3"/>
      </rPr>
      <t>d</t>
    </r>
    <r>
      <rPr>
        <sz val="10"/>
        <color rgb="FF000000"/>
        <rFont val="Consolas"/>
        <family val="3"/>
      </rPr>
      <t xml:space="preserve"> - </t>
    </r>
    <r>
      <rPr>
        <sz val="10"/>
        <color rgb="FF6A3E3E"/>
        <rFont val="Consolas"/>
        <family val="3"/>
      </rPr>
      <t>g</t>
    </r>
    <r>
      <rPr>
        <sz val="10"/>
        <color rgb="FF000000"/>
        <rFont val="Consolas"/>
        <family val="3"/>
      </rPr>
      <t xml:space="preserve"> + 15) % 30;</t>
    </r>
  </si>
  <si>
    <r>
      <t>int</t>
    </r>
    <r>
      <rPr>
        <sz val="10"/>
        <color rgb="FF000000"/>
        <rFont val="Consolas"/>
        <family val="3"/>
      </rPr>
      <t xml:space="preserve"> </t>
    </r>
    <r>
      <rPr>
        <sz val="10"/>
        <color rgb="FF6A3E3E"/>
        <rFont val="Consolas"/>
        <family val="3"/>
      </rPr>
      <t>i</t>
    </r>
    <r>
      <rPr>
        <sz val="10"/>
        <color rgb="FF000000"/>
        <rFont val="Consolas"/>
        <family val="3"/>
      </rPr>
      <t xml:space="preserve"> = </t>
    </r>
    <r>
      <rPr>
        <sz val="10"/>
        <color rgb="FF6A3E3E"/>
        <rFont val="Consolas"/>
        <family val="3"/>
      </rPr>
      <t>c</t>
    </r>
    <r>
      <rPr>
        <sz val="10"/>
        <color rgb="FF000000"/>
        <rFont val="Consolas"/>
        <family val="3"/>
      </rPr>
      <t xml:space="preserve"> / 4;</t>
    </r>
  </si>
  <si>
    <r>
      <t>int</t>
    </r>
    <r>
      <rPr>
        <sz val="10"/>
        <color rgb="FF000000"/>
        <rFont val="Consolas"/>
        <family val="3"/>
      </rPr>
      <t xml:space="preserve"> </t>
    </r>
    <r>
      <rPr>
        <sz val="10"/>
        <color rgb="FF6A3E3E"/>
        <rFont val="Consolas"/>
        <family val="3"/>
      </rPr>
      <t>k</t>
    </r>
    <r>
      <rPr>
        <sz val="10"/>
        <color rgb="FF000000"/>
        <rFont val="Consolas"/>
        <family val="3"/>
      </rPr>
      <t xml:space="preserve"> = </t>
    </r>
    <r>
      <rPr>
        <sz val="10"/>
        <color rgb="FF6A3E3E"/>
        <rFont val="Consolas"/>
        <family val="3"/>
      </rPr>
      <t>c</t>
    </r>
    <r>
      <rPr>
        <sz val="10"/>
        <color rgb="FF000000"/>
        <rFont val="Consolas"/>
        <family val="3"/>
      </rPr>
      <t xml:space="preserve"> % 4;</t>
    </r>
  </si>
  <si>
    <r>
      <t>int</t>
    </r>
    <r>
      <rPr>
        <sz val="10"/>
        <color rgb="FF000000"/>
        <rFont val="Consolas"/>
        <family val="3"/>
      </rPr>
      <t xml:space="preserve"> </t>
    </r>
    <r>
      <rPr>
        <sz val="10"/>
        <color rgb="FF6A3E3E"/>
        <rFont val="Consolas"/>
        <family val="3"/>
      </rPr>
      <t>l</t>
    </r>
    <r>
      <rPr>
        <sz val="10"/>
        <color rgb="FF000000"/>
        <rFont val="Consolas"/>
        <family val="3"/>
      </rPr>
      <t xml:space="preserve"> = (32+ 2*</t>
    </r>
    <r>
      <rPr>
        <sz val="10"/>
        <color rgb="FF6A3E3E"/>
        <rFont val="Consolas"/>
        <family val="3"/>
      </rPr>
      <t>e</t>
    </r>
    <r>
      <rPr>
        <sz val="10"/>
        <color rgb="FF000000"/>
        <rFont val="Consolas"/>
        <family val="3"/>
      </rPr>
      <t xml:space="preserve"> + 2*</t>
    </r>
    <r>
      <rPr>
        <sz val="10"/>
        <color rgb="FF6A3E3E"/>
        <rFont val="Consolas"/>
        <family val="3"/>
      </rPr>
      <t>i</t>
    </r>
    <r>
      <rPr>
        <sz val="10"/>
        <color rgb="FF000000"/>
        <rFont val="Consolas"/>
        <family val="3"/>
      </rPr>
      <t xml:space="preserve"> - </t>
    </r>
    <r>
      <rPr>
        <sz val="10"/>
        <color rgb="FF6A3E3E"/>
        <rFont val="Consolas"/>
        <family val="3"/>
      </rPr>
      <t>h</t>
    </r>
    <r>
      <rPr>
        <sz val="10"/>
        <color rgb="FF000000"/>
        <rFont val="Consolas"/>
        <family val="3"/>
      </rPr>
      <t xml:space="preserve"> - </t>
    </r>
    <r>
      <rPr>
        <sz val="10"/>
        <color rgb="FF6A3E3E"/>
        <rFont val="Consolas"/>
        <family val="3"/>
      </rPr>
      <t>k</t>
    </r>
    <r>
      <rPr>
        <sz val="10"/>
        <color rgb="FF000000"/>
        <rFont val="Consolas"/>
        <family val="3"/>
      </rPr>
      <t>) % 7;</t>
    </r>
  </si>
  <si>
    <r>
      <t>int</t>
    </r>
    <r>
      <rPr>
        <sz val="10"/>
        <color rgb="FF000000"/>
        <rFont val="Consolas"/>
        <family val="3"/>
      </rPr>
      <t xml:space="preserve"> </t>
    </r>
    <r>
      <rPr>
        <sz val="10"/>
        <color rgb="FF6A3E3E"/>
        <rFont val="Consolas"/>
        <family val="3"/>
      </rPr>
      <t>m</t>
    </r>
    <r>
      <rPr>
        <sz val="10"/>
        <color rgb="FF000000"/>
        <rFont val="Consolas"/>
        <family val="3"/>
      </rPr>
      <t xml:space="preserve"> = (</t>
    </r>
    <r>
      <rPr>
        <sz val="10"/>
        <color rgb="FF6A3E3E"/>
        <rFont val="Consolas"/>
        <family val="3"/>
      </rPr>
      <t>a</t>
    </r>
    <r>
      <rPr>
        <sz val="10"/>
        <color rgb="FF000000"/>
        <rFont val="Consolas"/>
        <family val="3"/>
      </rPr>
      <t xml:space="preserve"> + 11 * </t>
    </r>
    <r>
      <rPr>
        <sz val="10"/>
        <color rgb="FF6A3E3E"/>
        <rFont val="Consolas"/>
        <family val="3"/>
      </rPr>
      <t>h</t>
    </r>
    <r>
      <rPr>
        <sz val="10"/>
        <color rgb="FF000000"/>
        <rFont val="Consolas"/>
        <family val="3"/>
      </rPr>
      <t xml:space="preserve"> + 19 * </t>
    </r>
    <r>
      <rPr>
        <sz val="10"/>
        <color rgb="FF6A3E3E"/>
        <rFont val="Consolas"/>
        <family val="3"/>
      </rPr>
      <t>l</t>
    </r>
    <r>
      <rPr>
        <sz val="10"/>
        <color rgb="FF000000"/>
        <rFont val="Consolas"/>
        <family val="3"/>
      </rPr>
      <t>) / 433;</t>
    </r>
  </si>
  <si>
    <r>
      <t>int</t>
    </r>
    <r>
      <rPr>
        <sz val="10"/>
        <color rgb="FF000000"/>
        <rFont val="Consolas"/>
        <family val="3"/>
      </rPr>
      <t xml:space="preserve"> </t>
    </r>
    <r>
      <rPr>
        <sz val="10"/>
        <color rgb="FF6A3E3E"/>
        <rFont val="Consolas"/>
        <family val="3"/>
      </rPr>
      <t>p</t>
    </r>
    <r>
      <rPr>
        <sz val="10"/>
        <color rgb="FF000000"/>
        <rFont val="Consolas"/>
        <family val="3"/>
      </rPr>
      <t xml:space="preserve"> = (</t>
    </r>
    <r>
      <rPr>
        <sz val="10"/>
        <color rgb="FF6A3E3E"/>
        <rFont val="Consolas"/>
        <family val="3"/>
      </rPr>
      <t>h</t>
    </r>
    <r>
      <rPr>
        <sz val="10"/>
        <color rgb="FF000000"/>
        <rFont val="Consolas"/>
        <family val="3"/>
      </rPr>
      <t xml:space="preserve"> + </t>
    </r>
    <r>
      <rPr>
        <sz val="10"/>
        <color rgb="FF6A3E3E"/>
        <rFont val="Consolas"/>
        <family val="3"/>
      </rPr>
      <t>l</t>
    </r>
    <r>
      <rPr>
        <sz val="10"/>
        <color rgb="FF000000"/>
        <rFont val="Consolas"/>
        <family val="3"/>
      </rPr>
      <t xml:space="preserve"> - 7*</t>
    </r>
    <r>
      <rPr>
        <sz val="10"/>
        <color rgb="FF6A3E3E"/>
        <rFont val="Consolas"/>
        <family val="3"/>
      </rPr>
      <t>m</t>
    </r>
    <r>
      <rPr>
        <sz val="10"/>
        <color rgb="FF000000"/>
        <rFont val="Consolas"/>
        <family val="3"/>
      </rPr>
      <t xml:space="preserve"> + 33*</t>
    </r>
    <r>
      <rPr>
        <sz val="10"/>
        <color rgb="FF6A3E3E"/>
        <rFont val="Consolas"/>
        <family val="3"/>
      </rPr>
      <t>n</t>
    </r>
    <r>
      <rPr>
        <sz val="10"/>
        <color rgb="FF000000"/>
        <rFont val="Consolas"/>
        <family val="3"/>
      </rPr>
      <t xml:space="preserve"> + 19) % 32;</t>
    </r>
  </si>
  <si>
    <r>
      <t>int</t>
    </r>
    <r>
      <rPr>
        <sz val="10"/>
        <color rgb="FF000000"/>
        <rFont val="Consolas"/>
        <family val="3"/>
      </rPr>
      <t xml:space="preserve"> </t>
    </r>
    <r>
      <rPr>
        <sz val="10"/>
        <color rgb="FF6A3E3E"/>
        <rFont val="Consolas"/>
        <family val="3"/>
      </rPr>
      <t>n</t>
    </r>
    <r>
      <rPr>
        <sz val="10"/>
        <color rgb="FF000000"/>
        <rFont val="Consolas"/>
        <family val="3"/>
      </rPr>
      <t xml:space="preserve"> = (</t>
    </r>
    <r>
      <rPr>
        <sz val="10"/>
        <color rgb="FF6A3E3E"/>
        <rFont val="Consolas"/>
        <family val="3"/>
      </rPr>
      <t>h</t>
    </r>
    <r>
      <rPr>
        <sz val="10"/>
        <color rgb="FF000000"/>
        <rFont val="Consolas"/>
        <family val="3"/>
      </rPr>
      <t xml:space="preserve"> + </t>
    </r>
    <r>
      <rPr>
        <sz val="10"/>
        <color rgb="FF6A3E3E"/>
        <rFont val="Consolas"/>
        <family val="3"/>
      </rPr>
      <t>l</t>
    </r>
    <r>
      <rPr>
        <sz val="10"/>
        <color rgb="FF000000"/>
        <rFont val="Consolas"/>
        <family val="3"/>
      </rPr>
      <t xml:space="preserve"> - 7*</t>
    </r>
    <r>
      <rPr>
        <sz val="10"/>
        <color rgb="FF6A3E3E"/>
        <rFont val="Consolas"/>
        <family val="3"/>
      </rPr>
      <t>m</t>
    </r>
    <r>
      <rPr>
        <sz val="10"/>
        <color rgb="FF000000"/>
        <rFont val="Consolas"/>
        <family val="3"/>
      </rPr>
      <t xml:space="preserve"> +90)/25;</t>
    </r>
  </si>
  <si>
    <t>주님 부활 46일 전</t>
  </si>
  <si>
    <t>주간</t>
  </si>
  <si>
    <t>요일</t>
  </si>
  <si>
    <t>=재의 수요일 3일 전</t>
  </si>
  <si>
    <t>성령 강림</t>
  </si>
  <si>
    <t>주님 부활 49일 후</t>
  </si>
  <si>
    <t>연중 시기 둘째 부분 첫 주일</t>
  </si>
  <si>
    <t>그리스도왕 대축일</t>
  </si>
  <si>
    <t>대림 제1주일 전 주일</t>
  </si>
  <si>
    <t>연중 마지막 주일(34주간)</t>
  </si>
  <si>
    <t>성령 강림 대축일 당일</t>
  </si>
  <si>
    <t>총 연중 주간 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</si>
</sst>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161616"/>
      <name val="Consolas"/>
      <family val="3"/>
    </font>
    <font>
      <sz val="10"/>
      <color rgb="FF000000"/>
      <name val="Consolas"/>
      <family val="3"/>
    </font>
    <font>
      <b/>
      <sz val="10"/>
      <color rgb="FF7F0055"/>
      <name val="Consolas"/>
      <family val="3"/>
    </font>
    <font>
      <sz val="10"/>
      <color rgb="FF6A3E3E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left"/>
    </xf>
    <xf numFmtId="0" fontId="0" fillId="2" borderId="0" xfId="0" quotePrefix="1" applyFill="1" applyAlignment="1">
      <alignment horizontal="left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14" fontId="0" fillId="3" borderId="0" xfId="0" applyNumberFormat="1" applyFill="1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/>
    <xf numFmtId="0" fontId="3" fillId="3" borderId="0" xfId="0" applyFont="1" applyFill="1" applyAlignment="1">
      <alignment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C8A05-47B6-4DA9-A426-A6237C96B656}">
  <dimension ref="A1:Z39"/>
  <sheetViews>
    <sheetView zoomScale="85" zoomScaleNormal="85" workbookViewId="0">
      <selection activeCell="A40" sqref="A40"/>
    </sheetView>
  </sheetViews>
  <sheetFormatPr defaultRowHeight="14.4" x14ac:dyDescent="0.3"/>
  <cols>
    <col min="1" max="25" width="12.88671875" customWidth="1"/>
  </cols>
  <sheetData>
    <row r="1" spans="1:26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2" spans="1:26" x14ac:dyDescent="0.3">
      <c r="A2"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</row>
    <row r="3" spans="1:26" x14ac:dyDescent="0.3">
      <c r="A3">
        <v>2000</v>
      </c>
      <c r="B3">
        <v>2001</v>
      </c>
      <c r="C3">
        <v>2002</v>
      </c>
      <c r="D3">
        <v>2003</v>
      </c>
      <c r="E3">
        <v>2004</v>
      </c>
      <c r="F3">
        <v>2005</v>
      </c>
      <c r="G3">
        <v>2006</v>
      </c>
      <c r="H3">
        <v>2007</v>
      </c>
      <c r="I3">
        <v>2008</v>
      </c>
      <c r="J3">
        <v>2009</v>
      </c>
      <c r="K3">
        <v>2010</v>
      </c>
      <c r="L3">
        <v>2011</v>
      </c>
      <c r="M3">
        <v>2012</v>
      </c>
      <c r="N3">
        <v>2013</v>
      </c>
      <c r="O3">
        <v>2014</v>
      </c>
      <c r="P3">
        <v>2015</v>
      </c>
      <c r="Q3">
        <v>2016</v>
      </c>
      <c r="R3">
        <v>2017</v>
      </c>
      <c r="S3">
        <v>2018</v>
      </c>
      <c r="T3">
        <v>2019</v>
      </c>
      <c r="U3">
        <v>2020</v>
      </c>
      <c r="V3">
        <v>2021</v>
      </c>
      <c r="W3">
        <v>2022</v>
      </c>
      <c r="X3">
        <v>2023</v>
      </c>
      <c r="Y3">
        <v>2024</v>
      </c>
      <c r="Z3">
        <v>2025</v>
      </c>
    </row>
    <row r="4" spans="1:26" hidden="1" x14ac:dyDescent="0.3">
      <c r="A4" s="1">
        <f>DATE(A3, 1, 1)</f>
        <v>36526</v>
      </c>
      <c r="B4" s="1">
        <f t="shared" ref="B4:Z4" si="0">DATE(B3, 1, 1)</f>
        <v>36892</v>
      </c>
      <c r="C4" s="1">
        <f t="shared" si="0"/>
        <v>37257</v>
      </c>
      <c r="D4" s="1">
        <f t="shared" si="0"/>
        <v>37622</v>
      </c>
      <c r="E4" s="1">
        <f t="shared" si="0"/>
        <v>37987</v>
      </c>
      <c r="F4" s="1">
        <f t="shared" si="0"/>
        <v>38353</v>
      </c>
      <c r="G4" s="1">
        <f t="shared" si="0"/>
        <v>38718</v>
      </c>
      <c r="H4" s="1">
        <f t="shared" si="0"/>
        <v>39083</v>
      </c>
      <c r="I4" s="1">
        <f t="shared" si="0"/>
        <v>39448</v>
      </c>
      <c r="J4" s="1">
        <f t="shared" si="0"/>
        <v>39814</v>
      </c>
      <c r="K4" s="1">
        <f t="shared" si="0"/>
        <v>40179</v>
      </c>
      <c r="L4" s="1">
        <f t="shared" si="0"/>
        <v>40544</v>
      </c>
      <c r="M4" s="1">
        <f t="shared" si="0"/>
        <v>40909</v>
      </c>
      <c r="N4" s="1">
        <f t="shared" si="0"/>
        <v>41275</v>
      </c>
      <c r="O4" s="1">
        <f t="shared" si="0"/>
        <v>41640</v>
      </c>
      <c r="P4" s="1">
        <f t="shared" si="0"/>
        <v>42005</v>
      </c>
      <c r="Q4" s="1">
        <f t="shared" si="0"/>
        <v>42370</v>
      </c>
      <c r="R4" s="1">
        <f t="shared" si="0"/>
        <v>42736</v>
      </c>
      <c r="S4" s="1">
        <f t="shared" si="0"/>
        <v>43101</v>
      </c>
      <c r="T4" s="1">
        <f t="shared" si="0"/>
        <v>43466</v>
      </c>
      <c r="U4" s="1">
        <f t="shared" si="0"/>
        <v>43831</v>
      </c>
      <c r="V4" s="1">
        <f t="shared" si="0"/>
        <v>44197</v>
      </c>
      <c r="W4" s="1">
        <f t="shared" si="0"/>
        <v>44562</v>
      </c>
      <c r="X4" s="1">
        <f t="shared" si="0"/>
        <v>44927</v>
      </c>
      <c r="Y4" s="1">
        <f t="shared" si="0"/>
        <v>45292</v>
      </c>
      <c r="Z4" s="1">
        <f t="shared" si="0"/>
        <v>45658</v>
      </c>
    </row>
    <row r="5" spans="1:26" hidden="1" x14ac:dyDescent="0.3">
      <c r="A5" s="1">
        <f>DATE(A3, 12,31)</f>
        <v>36891</v>
      </c>
      <c r="B5" s="1">
        <f t="shared" ref="B5:Y5" si="1">DATE(B3, 12,31)</f>
        <v>37256</v>
      </c>
      <c r="C5" s="1">
        <f t="shared" si="1"/>
        <v>37621</v>
      </c>
      <c r="D5" s="1">
        <f t="shared" si="1"/>
        <v>37986</v>
      </c>
      <c r="E5" s="1">
        <f t="shared" si="1"/>
        <v>38352</v>
      </c>
      <c r="F5" s="1">
        <f t="shared" si="1"/>
        <v>38717</v>
      </c>
      <c r="G5" s="1">
        <f t="shared" si="1"/>
        <v>39082</v>
      </c>
      <c r="H5" s="1">
        <f t="shared" si="1"/>
        <v>39447</v>
      </c>
      <c r="I5" s="1">
        <f t="shared" si="1"/>
        <v>39813</v>
      </c>
      <c r="J5" s="1">
        <f t="shared" si="1"/>
        <v>40178</v>
      </c>
      <c r="K5" s="1">
        <f t="shared" si="1"/>
        <v>40543</v>
      </c>
      <c r="L5" s="1">
        <f t="shared" si="1"/>
        <v>40908</v>
      </c>
      <c r="M5" s="1">
        <f t="shared" si="1"/>
        <v>41274</v>
      </c>
      <c r="N5" s="1">
        <f t="shared" si="1"/>
        <v>41639</v>
      </c>
      <c r="O5" s="1">
        <f t="shared" si="1"/>
        <v>42004</v>
      </c>
      <c r="P5" s="1">
        <f t="shared" si="1"/>
        <v>42369</v>
      </c>
      <c r="Q5" s="1">
        <f t="shared" si="1"/>
        <v>42735</v>
      </c>
      <c r="R5" s="1">
        <f t="shared" si="1"/>
        <v>43100</v>
      </c>
      <c r="S5" s="1">
        <f t="shared" si="1"/>
        <v>43465</v>
      </c>
      <c r="T5" s="1">
        <f t="shared" si="1"/>
        <v>43830</v>
      </c>
      <c r="U5" s="1">
        <f t="shared" si="1"/>
        <v>44196</v>
      </c>
      <c r="V5" s="1">
        <f t="shared" si="1"/>
        <v>44561</v>
      </c>
      <c r="W5" s="1">
        <f t="shared" si="1"/>
        <v>44926</v>
      </c>
      <c r="X5" s="1">
        <f t="shared" si="1"/>
        <v>45291</v>
      </c>
      <c r="Y5" s="1">
        <f t="shared" si="1"/>
        <v>45657</v>
      </c>
    </row>
    <row r="7" spans="1:26" x14ac:dyDescent="0.3">
      <c r="A7" cm="1">
        <f t="array" aca="1" ref="A7" ca="1">SUM(N(WEEKDAY(ROW(INDIRECT(A4&amp;":"&amp;A5)))=1))</f>
        <v>53</v>
      </c>
      <c r="B7" cm="1">
        <f t="array" aca="1" ref="B7" ca="1">SUM(N(WEEKDAY(ROW(INDIRECT(B4&amp;":"&amp;B5)))=1))</f>
        <v>52</v>
      </c>
      <c r="C7" cm="1">
        <f t="array" aca="1" ref="C7" ca="1">SUM(N(WEEKDAY(ROW(INDIRECT(C4&amp;":"&amp;C5)))=1))</f>
        <v>52</v>
      </c>
      <c r="D7" cm="1">
        <f t="array" aca="1" ref="D7" ca="1">SUM(N(WEEKDAY(ROW(INDIRECT(D4&amp;":"&amp;D5)))=1))</f>
        <v>52</v>
      </c>
      <c r="E7" cm="1">
        <f t="array" aca="1" ref="E7" ca="1">SUM(N(WEEKDAY(ROW(INDIRECT(E4&amp;":"&amp;E5)))=1))</f>
        <v>52</v>
      </c>
      <c r="F7" cm="1">
        <f t="array" aca="1" ref="F7" ca="1">SUM(N(WEEKDAY(ROW(INDIRECT(F4&amp;":"&amp;F5)))=1))</f>
        <v>52</v>
      </c>
      <c r="G7" cm="1">
        <f t="array" aca="1" ref="G7" ca="1">SUM(N(WEEKDAY(ROW(INDIRECT(G4&amp;":"&amp;G5)))=1))</f>
        <v>53</v>
      </c>
      <c r="H7" cm="1">
        <f t="array" aca="1" ref="H7" ca="1">SUM(N(WEEKDAY(ROW(INDIRECT(H4&amp;":"&amp;H5)))=1))</f>
        <v>52</v>
      </c>
      <c r="I7" cm="1">
        <f t="array" aca="1" ref="I7" ca="1">SUM(N(WEEKDAY(ROW(INDIRECT(I4&amp;":"&amp;I5)))=1))</f>
        <v>52</v>
      </c>
      <c r="J7" cm="1">
        <f t="array" aca="1" ref="J7" ca="1">SUM(N(WEEKDAY(ROW(INDIRECT(J4&amp;":"&amp;J5)))=1))</f>
        <v>52</v>
      </c>
      <c r="K7" cm="1">
        <f t="array" aca="1" ref="K7" ca="1">SUM(N(WEEKDAY(ROW(INDIRECT(K4&amp;":"&amp;K5)))=1))</f>
        <v>52</v>
      </c>
      <c r="L7" cm="1">
        <f t="array" aca="1" ref="L7" ca="1">SUM(N(WEEKDAY(ROW(INDIRECT(L4&amp;":"&amp;L5)))=1))</f>
        <v>52</v>
      </c>
      <c r="M7" cm="1">
        <f t="array" aca="1" ref="M7" ca="1">SUM(N(WEEKDAY(ROW(INDIRECT(M4&amp;":"&amp;M5)))=1))</f>
        <v>53</v>
      </c>
      <c r="N7" cm="1">
        <f t="array" aca="1" ref="N7" ca="1">SUM(N(WEEKDAY(ROW(INDIRECT(N4&amp;":"&amp;N5)))=1))</f>
        <v>52</v>
      </c>
      <c r="O7" cm="1">
        <f t="array" aca="1" ref="O7" ca="1">SUM(N(WEEKDAY(ROW(INDIRECT(O4&amp;":"&amp;O5)))=1))</f>
        <v>52</v>
      </c>
      <c r="P7" cm="1">
        <f t="array" aca="1" ref="P7" ca="1">SUM(N(WEEKDAY(ROW(INDIRECT(P4&amp;":"&amp;P5)))=1))</f>
        <v>52</v>
      </c>
      <c r="Q7" cm="1">
        <f t="array" aca="1" ref="Q7" ca="1">SUM(N(WEEKDAY(ROW(INDIRECT(Q4&amp;":"&amp;Q5)))=1))</f>
        <v>52</v>
      </c>
      <c r="R7" cm="1">
        <f t="array" aca="1" ref="R7" ca="1">SUM(N(WEEKDAY(ROW(INDIRECT(R4&amp;":"&amp;R5)))=1))</f>
        <v>53</v>
      </c>
      <c r="S7" cm="1">
        <f t="array" aca="1" ref="S7" ca="1">SUM(N(WEEKDAY(ROW(INDIRECT(S4&amp;":"&amp;S5)))=1))</f>
        <v>52</v>
      </c>
      <c r="T7" cm="1">
        <f t="array" aca="1" ref="T7" ca="1">SUM(N(WEEKDAY(ROW(INDIRECT(T4&amp;":"&amp;T5)))=1))</f>
        <v>52</v>
      </c>
      <c r="U7" cm="1">
        <f t="array" aca="1" ref="U7" ca="1">SUM(N(WEEKDAY(ROW(INDIRECT(U4&amp;":"&amp;U5)))=1))</f>
        <v>52</v>
      </c>
      <c r="V7" cm="1">
        <f t="array" aca="1" ref="V7" ca="1">SUM(N(WEEKDAY(ROW(INDIRECT(V4&amp;":"&amp;V5)))=1))</f>
        <v>52</v>
      </c>
      <c r="W7" cm="1">
        <f t="array" aca="1" ref="W7" ca="1">SUM(N(WEEKDAY(ROW(INDIRECT(W4&amp;":"&amp;W5)))=1))</f>
        <v>52</v>
      </c>
      <c r="X7" cm="1">
        <f t="array" aca="1" ref="X7" ca="1">SUM(N(WEEKDAY(ROW(INDIRECT(X4&amp;":"&amp;X5)))=1))</f>
        <v>53</v>
      </c>
      <c r="Y7" cm="1">
        <f t="array" aca="1" ref="Y7" ca="1">SUM(N(WEEKDAY(ROW(INDIRECT(Y4&amp;":"&amp;Y5)))=1))</f>
        <v>52</v>
      </c>
    </row>
    <row r="9" spans="1:26" x14ac:dyDescent="0.3">
      <c r="A9" t="s">
        <v>0</v>
      </c>
      <c r="B9" t="s">
        <v>0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0</v>
      </c>
      <c r="W9" t="s">
        <v>0</v>
      </c>
      <c r="X9" t="s">
        <v>0</v>
      </c>
      <c r="Y9" t="s">
        <v>0</v>
      </c>
    </row>
    <row r="10" spans="1:26" x14ac:dyDescent="0.3">
      <c r="A10">
        <v>6</v>
      </c>
      <c r="B10">
        <v>6</v>
      </c>
      <c r="C10">
        <v>6</v>
      </c>
      <c r="D10">
        <v>6</v>
      </c>
      <c r="E10">
        <v>6</v>
      </c>
      <c r="F10">
        <v>6</v>
      </c>
      <c r="G10">
        <v>6</v>
      </c>
      <c r="H10">
        <v>6</v>
      </c>
      <c r="I10">
        <v>6</v>
      </c>
      <c r="J10">
        <v>6</v>
      </c>
      <c r="K10">
        <v>6</v>
      </c>
      <c r="L10">
        <v>6</v>
      </c>
      <c r="M10">
        <v>6</v>
      </c>
      <c r="N10">
        <v>6</v>
      </c>
      <c r="O10">
        <v>6</v>
      </c>
      <c r="P10">
        <v>6</v>
      </c>
      <c r="Q10">
        <v>6</v>
      </c>
      <c r="R10">
        <v>6</v>
      </c>
      <c r="S10">
        <v>6</v>
      </c>
      <c r="T10">
        <v>6</v>
      </c>
      <c r="U10">
        <v>6</v>
      </c>
      <c r="V10">
        <v>6</v>
      </c>
      <c r="W10">
        <v>6</v>
      </c>
      <c r="X10">
        <v>6</v>
      </c>
      <c r="Y10">
        <v>6</v>
      </c>
    </row>
    <row r="11" spans="1:26" x14ac:dyDescent="0.3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  <c r="S11" t="s">
        <v>1</v>
      </c>
      <c r="T11" t="s">
        <v>1</v>
      </c>
      <c r="U11" t="s">
        <v>1</v>
      </c>
      <c r="V11" t="s">
        <v>1</v>
      </c>
      <c r="W11" t="s">
        <v>1</v>
      </c>
      <c r="X11" t="s">
        <v>1</v>
      </c>
      <c r="Y11" t="s">
        <v>1</v>
      </c>
    </row>
    <row r="12" spans="1:26" x14ac:dyDescent="0.3">
      <c r="A12">
        <v>7</v>
      </c>
      <c r="B12">
        <v>7</v>
      </c>
      <c r="C12">
        <v>7</v>
      </c>
      <c r="D12">
        <v>7</v>
      </c>
      <c r="E12">
        <v>7</v>
      </c>
      <c r="F12">
        <v>7</v>
      </c>
      <c r="G12">
        <v>7</v>
      </c>
      <c r="H12">
        <v>7</v>
      </c>
      <c r="I12">
        <v>7</v>
      </c>
      <c r="J12">
        <v>7</v>
      </c>
      <c r="K12">
        <v>7</v>
      </c>
      <c r="L12">
        <v>7</v>
      </c>
      <c r="M12">
        <v>7</v>
      </c>
      <c r="N12">
        <v>7</v>
      </c>
      <c r="O12">
        <v>7</v>
      </c>
      <c r="P12">
        <v>7</v>
      </c>
      <c r="Q12">
        <v>7</v>
      </c>
      <c r="R12">
        <v>7</v>
      </c>
      <c r="S12">
        <v>7</v>
      </c>
      <c r="T12">
        <v>7</v>
      </c>
      <c r="U12">
        <v>7</v>
      </c>
      <c r="V12">
        <v>7</v>
      </c>
      <c r="W12">
        <v>7</v>
      </c>
      <c r="X12">
        <v>7</v>
      </c>
      <c r="Y12">
        <v>7</v>
      </c>
    </row>
    <row r="13" spans="1:26" x14ac:dyDescent="0.3">
      <c r="A13" t="s">
        <v>2</v>
      </c>
      <c r="B13" t="s">
        <v>2</v>
      </c>
      <c r="C13" t="s">
        <v>2</v>
      </c>
      <c r="D13" t="s">
        <v>2</v>
      </c>
      <c r="E13" t="s">
        <v>2</v>
      </c>
      <c r="F13" t="s">
        <v>2</v>
      </c>
      <c r="G13" t="s">
        <v>2</v>
      </c>
      <c r="H13" t="s">
        <v>2</v>
      </c>
      <c r="I13" t="s">
        <v>2</v>
      </c>
      <c r="J13" t="s">
        <v>2</v>
      </c>
      <c r="K13" t="s">
        <v>2</v>
      </c>
      <c r="L13" t="s">
        <v>2</v>
      </c>
      <c r="M13" t="s">
        <v>2</v>
      </c>
      <c r="N13" t="s">
        <v>2</v>
      </c>
      <c r="O13" t="s">
        <v>2</v>
      </c>
      <c r="P13" t="s">
        <v>2</v>
      </c>
      <c r="Q13" t="s">
        <v>2</v>
      </c>
      <c r="R13" t="s">
        <v>2</v>
      </c>
      <c r="S13" t="s">
        <v>2</v>
      </c>
      <c r="T13" t="s">
        <v>2</v>
      </c>
      <c r="U13" t="s">
        <v>2</v>
      </c>
      <c r="V13" t="s">
        <v>2</v>
      </c>
      <c r="W13" t="s">
        <v>2</v>
      </c>
      <c r="X13" t="s">
        <v>2</v>
      </c>
      <c r="Y13" t="s">
        <v>2</v>
      </c>
    </row>
    <row r="14" spans="1:26" x14ac:dyDescent="0.3">
      <c r="A14">
        <v>4</v>
      </c>
      <c r="B14">
        <v>4</v>
      </c>
      <c r="C14">
        <v>4</v>
      </c>
      <c r="D14">
        <v>4</v>
      </c>
      <c r="E14">
        <v>4</v>
      </c>
      <c r="F14">
        <v>4</v>
      </c>
      <c r="G14">
        <v>4</v>
      </c>
      <c r="H14">
        <v>4</v>
      </c>
      <c r="I14">
        <v>4</v>
      </c>
      <c r="J14">
        <v>4</v>
      </c>
      <c r="K14">
        <v>4</v>
      </c>
      <c r="L14">
        <v>4</v>
      </c>
      <c r="M14">
        <v>4</v>
      </c>
      <c r="N14">
        <v>4</v>
      </c>
      <c r="O14">
        <v>4</v>
      </c>
      <c r="P14">
        <v>4</v>
      </c>
      <c r="Q14">
        <v>4</v>
      </c>
      <c r="R14">
        <v>4</v>
      </c>
      <c r="S14">
        <v>4</v>
      </c>
      <c r="T14">
        <v>4</v>
      </c>
      <c r="U14">
        <v>4</v>
      </c>
      <c r="V14">
        <v>4</v>
      </c>
      <c r="W14">
        <v>4</v>
      </c>
      <c r="X14">
        <v>4</v>
      </c>
      <c r="Y14">
        <v>4</v>
      </c>
    </row>
    <row r="15" spans="1:26" x14ac:dyDescent="0.3">
      <c r="A15" t="s">
        <v>3</v>
      </c>
      <c r="B15" t="s">
        <v>3</v>
      </c>
      <c r="C15" t="s">
        <v>3</v>
      </c>
      <c r="D15" t="s">
        <v>3</v>
      </c>
      <c r="E15" t="s">
        <v>3</v>
      </c>
      <c r="F15" t="s">
        <v>3</v>
      </c>
      <c r="G15" t="s">
        <v>3</v>
      </c>
      <c r="H15" t="s">
        <v>3</v>
      </c>
      <c r="I15" t="s">
        <v>3</v>
      </c>
      <c r="J15" t="s">
        <v>3</v>
      </c>
      <c r="K15" t="s">
        <v>3</v>
      </c>
      <c r="L15" t="s">
        <v>3</v>
      </c>
      <c r="M15" t="s">
        <v>3</v>
      </c>
      <c r="N15" t="s">
        <v>3</v>
      </c>
      <c r="O15" t="s">
        <v>3</v>
      </c>
      <c r="P15" t="s">
        <v>3</v>
      </c>
      <c r="Q15" t="s">
        <v>3</v>
      </c>
      <c r="R15" t="s">
        <v>3</v>
      </c>
      <c r="S15" t="s">
        <v>3</v>
      </c>
      <c r="T15" t="s">
        <v>3</v>
      </c>
      <c r="U15" t="s">
        <v>3</v>
      </c>
      <c r="V15" t="s">
        <v>3</v>
      </c>
      <c r="W15" t="s">
        <v>3</v>
      </c>
      <c r="X15" t="s">
        <v>3</v>
      </c>
      <c r="Y15" t="s">
        <v>3</v>
      </c>
    </row>
    <row r="16" spans="1:26" x14ac:dyDescent="0.3">
      <c r="B16">
        <f ca="1">A39+B25</f>
        <v>1</v>
      </c>
      <c r="C16">
        <f t="shared" ref="C16:Y16" ca="1" si="2">B39+C25</f>
        <v>2</v>
      </c>
      <c r="D16">
        <f t="shared" ca="1" si="2"/>
        <v>2</v>
      </c>
      <c r="E16">
        <f t="shared" ca="1" si="2"/>
        <v>2</v>
      </c>
      <c r="F16">
        <f t="shared" ca="1" si="2"/>
        <v>2</v>
      </c>
      <c r="G16">
        <f t="shared" ca="1" si="2"/>
        <v>2</v>
      </c>
      <c r="H16">
        <f t="shared" ca="1" si="2"/>
        <v>1</v>
      </c>
      <c r="I16">
        <f t="shared" ca="1" si="2"/>
        <v>2</v>
      </c>
      <c r="J16">
        <f t="shared" ca="1" si="2"/>
        <v>2</v>
      </c>
      <c r="K16">
        <f t="shared" ca="1" si="2"/>
        <v>2</v>
      </c>
      <c r="L16">
        <f t="shared" ca="1" si="2"/>
        <v>2</v>
      </c>
      <c r="M16">
        <f t="shared" ca="1" si="2"/>
        <v>2</v>
      </c>
      <c r="N16">
        <f t="shared" ca="1" si="2"/>
        <v>2</v>
      </c>
      <c r="O16">
        <f t="shared" ca="1" si="2"/>
        <v>2</v>
      </c>
      <c r="P16">
        <f t="shared" ca="1" si="2"/>
        <v>2</v>
      </c>
      <c r="Q16">
        <f t="shared" ca="1" si="2"/>
        <v>2</v>
      </c>
      <c r="R16">
        <f t="shared" ca="1" si="2"/>
        <v>2</v>
      </c>
      <c r="S16">
        <f t="shared" ca="1" si="2"/>
        <v>1</v>
      </c>
      <c r="T16">
        <f t="shared" ca="1" si="2"/>
        <v>2</v>
      </c>
      <c r="U16">
        <f t="shared" ca="1" si="2"/>
        <v>2</v>
      </c>
      <c r="V16">
        <f t="shared" ca="1" si="2"/>
        <v>2</v>
      </c>
      <c r="W16">
        <f t="shared" ca="1" si="2"/>
        <v>2</v>
      </c>
      <c r="X16">
        <f t="shared" ca="1" si="2"/>
        <v>2</v>
      </c>
      <c r="Y16">
        <f t="shared" ca="1" si="2"/>
        <v>1</v>
      </c>
    </row>
    <row r="17" spans="1:25" x14ac:dyDescent="0.3">
      <c r="A17" t="s">
        <v>16</v>
      </c>
      <c r="B17" t="s">
        <v>16</v>
      </c>
      <c r="C17" t="s">
        <v>16</v>
      </c>
      <c r="D17" t="s">
        <v>16</v>
      </c>
      <c r="E17" t="s">
        <v>16</v>
      </c>
      <c r="F17" t="s">
        <v>16</v>
      </c>
      <c r="G17" t="s">
        <v>16</v>
      </c>
      <c r="H17" t="s">
        <v>16</v>
      </c>
      <c r="I17" t="s">
        <v>16</v>
      </c>
      <c r="J17" t="s">
        <v>16</v>
      </c>
      <c r="K17" t="s">
        <v>16</v>
      </c>
      <c r="L17" t="s">
        <v>16</v>
      </c>
      <c r="M17" t="s">
        <v>16</v>
      </c>
      <c r="N17" t="s">
        <v>16</v>
      </c>
      <c r="O17" t="s">
        <v>16</v>
      </c>
      <c r="P17" t="s">
        <v>16</v>
      </c>
      <c r="Q17" t="s">
        <v>16</v>
      </c>
      <c r="R17" t="s">
        <v>16</v>
      </c>
      <c r="S17" t="s">
        <v>16</v>
      </c>
      <c r="T17" t="s">
        <v>16</v>
      </c>
      <c r="U17" t="s">
        <v>16</v>
      </c>
      <c r="V17" t="s">
        <v>16</v>
      </c>
      <c r="W17" t="s">
        <v>16</v>
      </c>
      <c r="X17" t="s">
        <v>16</v>
      </c>
      <c r="Y17" t="s">
        <v>16</v>
      </c>
    </row>
    <row r="18" spans="1:25" x14ac:dyDescent="0.3">
      <c r="B18">
        <f ca="1">B7-B10-B12-B14-B16</f>
        <v>34</v>
      </c>
      <c r="C18">
        <f t="shared" ref="C18:Y18" ca="1" si="3">C7-C10-C12-C14-C16</f>
        <v>33</v>
      </c>
      <c r="D18">
        <f t="shared" ca="1" si="3"/>
        <v>33</v>
      </c>
      <c r="E18">
        <f t="shared" ca="1" si="3"/>
        <v>33</v>
      </c>
      <c r="F18">
        <f t="shared" ca="1" si="3"/>
        <v>33</v>
      </c>
      <c r="G18">
        <f t="shared" ca="1" si="3"/>
        <v>34</v>
      </c>
      <c r="H18">
        <f t="shared" ca="1" si="3"/>
        <v>34</v>
      </c>
      <c r="I18">
        <f t="shared" ca="1" si="3"/>
        <v>33</v>
      </c>
      <c r="J18">
        <f t="shared" ca="1" si="3"/>
        <v>33</v>
      </c>
      <c r="K18">
        <f t="shared" ca="1" si="3"/>
        <v>33</v>
      </c>
      <c r="L18">
        <f t="shared" ca="1" si="3"/>
        <v>33</v>
      </c>
      <c r="M18">
        <f t="shared" ca="1" si="3"/>
        <v>34</v>
      </c>
      <c r="N18">
        <f t="shared" ca="1" si="3"/>
        <v>33</v>
      </c>
      <c r="O18">
        <f t="shared" ca="1" si="3"/>
        <v>33</v>
      </c>
      <c r="P18">
        <f t="shared" ca="1" si="3"/>
        <v>33</v>
      </c>
      <c r="Q18">
        <f t="shared" ca="1" si="3"/>
        <v>33</v>
      </c>
      <c r="R18">
        <f t="shared" ca="1" si="3"/>
        <v>34</v>
      </c>
      <c r="S18">
        <f t="shared" ca="1" si="3"/>
        <v>34</v>
      </c>
      <c r="T18">
        <f t="shared" ca="1" si="3"/>
        <v>33</v>
      </c>
      <c r="U18">
        <f t="shared" ca="1" si="3"/>
        <v>33</v>
      </c>
      <c r="V18">
        <f t="shared" ca="1" si="3"/>
        <v>33</v>
      </c>
      <c r="W18">
        <f t="shared" ca="1" si="3"/>
        <v>33</v>
      </c>
      <c r="X18">
        <f t="shared" ca="1" si="3"/>
        <v>34</v>
      </c>
      <c r="Y18">
        <f t="shared" ca="1" si="3"/>
        <v>34</v>
      </c>
    </row>
    <row r="20" spans="1:25" x14ac:dyDescent="0.3">
      <c r="A20" t="s">
        <v>20</v>
      </c>
    </row>
    <row r="21" spans="1:25" x14ac:dyDescent="0.3">
      <c r="A21" s="1">
        <f>DATE(A3, 12, 25)</f>
        <v>36885</v>
      </c>
      <c r="B21" s="1">
        <f t="shared" ref="B21:Y21" si="4">DATE(B3, 12, 25)</f>
        <v>37250</v>
      </c>
      <c r="C21" s="1">
        <f t="shared" si="4"/>
        <v>37615</v>
      </c>
      <c r="D21" s="1">
        <f t="shared" si="4"/>
        <v>37980</v>
      </c>
      <c r="E21" s="1">
        <f t="shared" si="4"/>
        <v>38346</v>
      </c>
      <c r="F21" s="1">
        <f t="shared" si="4"/>
        <v>38711</v>
      </c>
      <c r="G21" s="1">
        <f t="shared" si="4"/>
        <v>39076</v>
      </c>
      <c r="H21" s="1">
        <f t="shared" si="4"/>
        <v>39441</v>
      </c>
      <c r="I21" s="1">
        <f t="shared" si="4"/>
        <v>39807</v>
      </c>
      <c r="J21" s="1">
        <f t="shared" si="4"/>
        <v>40172</v>
      </c>
      <c r="K21" s="1">
        <f t="shared" si="4"/>
        <v>40537</v>
      </c>
      <c r="L21" s="1">
        <f t="shared" si="4"/>
        <v>40902</v>
      </c>
      <c r="M21" s="1">
        <f t="shared" si="4"/>
        <v>41268</v>
      </c>
      <c r="N21" s="1">
        <f t="shared" si="4"/>
        <v>41633</v>
      </c>
      <c r="O21" s="1">
        <f t="shared" si="4"/>
        <v>41998</v>
      </c>
      <c r="P21" s="1">
        <f t="shared" si="4"/>
        <v>42363</v>
      </c>
      <c r="Q21" s="1">
        <f t="shared" si="4"/>
        <v>42729</v>
      </c>
      <c r="R21" s="1">
        <f t="shared" si="4"/>
        <v>43094</v>
      </c>
      <c r="S21" s="1">
        <f t="shared" si="4"/>
        <v>43459</v>
      </c>
      <c r="T21" s="1">
        <f t="shared" si="4"/>
        <v>43824</v>
      </c>
      <c r="U21" s="1">
        <f t="shared" si="4"/>
        <v>44190</v>
      </c>
      <c r="V21" s="1">
        <f t="shared" si="4"/>
        <v>44555</v>
      </c>
      <c r="W21" s="1">
        <f t="shared" si="4"/>
        <v>44920</v>
      </c>
      <c r="X21" s="1">
        <f t="shared" si="4"/>
        <v>45285</v>
      </c>
      <c r="Y21" s="1">
        <f t="shared" si="4"/>
        <v>45651</v>
      </c>
    </row>
    <row r="22" spans="1:25" x14ac:dyDescent="0.3">
      <c r="A22" t="s">
        <v>4</v>
      </c>
    </row>
    <row r="23" spans="1:25" x14ac:dyDescent="0.3">
      <c r="A23">
        <f>WEEKDAY(A21)</f>
        <v>2</v>
      </c>
      <c r="B23">
        <f t="shared" ref="B23:Y23" si="5">WEEKDAY(B21)</f>
        <v>3</v>
      </c>
      <c r="C23">
        <f t="shared" si="5"/>
        <v>4</v>
      </c>
      <c r="D23">
        <f t="shared" si="5"/>
        <v>5</v>
      </c>
      <c r="E23">
        <f t="shared" si="5"/>
        <v>7</v>
      </c>
      <c r="F23">
        <f t="shared" si="5"/>
        <v>1</v>
      </c>
      <c r="G23">
        <f>WEEKDAY(G21)</f>
        <v>2</v>
      </c>
      <c r="H23">
        <f t="shared" si="5"/>
        <v>3</v>
      </c>
      <c r="I23">
        <f t="shared" si="5"/>
        <v>5</v>
      </c>
      <c r="J23">
        <f t="shared" si="5"/>
        <v>6</v>
      </c>
      <c r="K23">
        <f t="shared" si="5"/>
        <v>7</v>
      </c>
      <c r="L23">
        <f t="shared" si="5"/>
        <v>1</v>
      </c>
      <c r="M23">
        <f t="shared" si="5"/>
        <v>3</v>
      </c>
      <c r="N23">
        <f t="shared" si="5"/>
        <v>4</v>
      </c>
      <c r="O23">
        <f t="shared" si="5"/>
        <v>5</v>
      </c>
      <c r="P23">
        <f t="shared" si="5"/>
        <v>6</v>
      </c>
      <c r="Q23">
        <f t="shared" si="5"/>
        <v>1</v>
      </c>
      <c r="R23">
        <f t="shared" si="5"/>
        <v>2</v>
      </c>
      <c r="S23">
        <f t="shared" si="5"/>
        <v>3</v>
      </c>
      <c r="T23">
        <f t="shared" si="5"/>
        <v>4</v>
      </c>
      <c r="U23">
        <f t="shared" si="5"/>
        <v>6</v>
      </c>
      <c r="V23">
        <f t="shared" si="5"/>
        <v>7</v>
      </c>
      <c r="W23">
        <f t="shared" si="5"/>
        <v>1</v>
      </c>
      <c r="X23">
        <f t="shared" si="5"/>
        <v>2</v>
      </c>
      <c r="Y23">
        <f t="shared" si="5"/>
        <v>4</v>
      </c>
    </row>
    <row r="24" spans="1:25" x14ac:dyDescent="0.3">
      <c r="A24" t="s">
        <v>19</v>
      </c>
    </row>
    <row r="25" spans="1:25" x14ac:dyDescent="0.3">
      <c r="A25" cm="1">
        <f t="array" aca="1" ref="A25" ca="1">SUM(N(WEEKDAY(ROW(INDIRECT(A21&amp;":"&amp;A5)))=1))</f>
        <v>1</v>
      </c>
      <c r="B25" cm="1">
        <f t="array" aca="1" ref="B25" ca="1">SUM(N(WEEKDAY(ROW(INDIRECT(B21&amp;":"&amp;B5)))=1))</f>
        <v>1</v>
      </c>
      <c r="C25" cm="1">
        <f t="array" aca="1" ref="C25" ca="1">SUM(N(WEEKDAY(ROW(INDIRECT(C21&amp;":"&amp;C5)))=1))</f>
        <v>1</v>
      </c>
      <c r="D25" cm="1">
        <f t="array" aca="1" ref="D25" ca="1">SUM(N(WEEKDAY(ROW(INDIRECT(D21&amp;":"&amp;D5)))=1))</f>
        <v>1</v>
      </c>
      <c r="E25" cm="1">
        <f t="array" aca="1" ref="E25" ca="1">SUM(N(WEEKDAY(ROW(INDIRECT(E21&amp;":"&amp;E5)))=1))</f>
        <v>1</v>
      </c>
      <c r="F25" cm="1">
        <f t="array" aca="1" ref="F25" ca="1">SUM(N(WEEKDAY(ROW(INDIRECT(F21&amp;":"&amp;F5)))=1))</f>
        <v>1</v>
      </c>
      <c r="G25" cm="1">
        <f t="array" aca="1" ref="G25" ca="1">SUM(N(WEEKDAY(ROW(INDIRECT(G21&amp;":"&amp;G5)))=1))</f>
        <v>1</v>
      </c>
      <c r="H25" cm="1">
        <f t="array" aca="1" ref="H25" ca="1">SUM(N(WEEKDAY(ROW(INDIRECT(H21&amp;":"&amp;H5)))=1))</f>
        <v>1</v>
      </c>
      <c r="I25" cm="1">
        <f t="array" aca="1" ref="I25" ca="1">SUM(N(WEEKDAY(ROW(INDIRECT(I21&amp;":"&amp;I5)))=1))</f>
        <v>1</v>
      </c>
      <c r="J25" cm="1">
        <f t="array" aca="1" ref="J25" ca="1">SUM(N(WEEKDAY(ROW(INDIRECT(J21&amp;":"&amp;J5)))=1))</f>
        <v>1</v>
      </c>
      <c r="K25" cm="1">
        <f t="array" aca="1" ref="K25" ca="1">SUM(N(WEEKDAY(ROW(INDIRECT(K21&amp;":"&amp;K5)))=1))</f>
        <v>1</v>
      </c>
      <c r="L25" cm="1">
        <f t="array" aca="1" ref="L25" ca="1">SUM(N(WEEKDAY(ROW(INDIRECT(L21&amp;":"&amp;L5)))=1))</f>
        <v>1</v>
      </c>
      <c r="M25" cm="1">
        <f t="array" aca="1" ref="M25" ca="1">SUM(N(WEEKDAY(ROW(INDIRECT(M21&amp;":"&amp;M5)))=1))</f>
        <v>1</v>
      </c>
      <c r="N25" cm="1">
        <f t="array" aca="1" ref="N25" ca="1">SUM(N(WEEKDAY(ROW(INDIRECT(N21&amp;":"&amp;N5)))=1))</f>
        <v>1</v>
      </c>
      <c r="O25" cm="1">
        <f t="array" aca="1" ref="O25" ca="1">SUM(N(WEEKDAY(ROW(INDIRECT(O21&amp;":"&amp;O5)))=1))</f>
        <v>1</v>
      </c>
      <c r="P25" cm="1">
        <f t="array" aca="1" ref="P25" ca="1">SUM(N(WEEKDAY(ROW(INDIRECT(P21&amp;":"&amp;P5)))=1))</f>
        <v>1</v>
      </c>
      <c r="Q25" cm="1">
        <f t="array" aca="1" ref="Q25" ca="1">SUM(N(WEEKDAY(ROW(INDIRECT(Q21&amp;":"&amp;Q5)))=1))</f>
        <v>1</v>
      </c>
      <c r="R25" cm="1">
        <f t="array" aca="1" ref="R25" ca="1">SUM(N(WEEKDAY(ROW(INDIRECT(R21&amp;":"&amp;R5)))=1))</f>
        <v>1</v>
      </c>
      <c r="S25" cm="1">
        <f t="array" aca="1" ref="S25" ca="1">SUM(N(WEEKDAY(ROW(INDIRECT(S21&amp;":"&amp;S5)))=1))</f>
        <v>1</v>
      </c>
      <c r="T25" cm="1">
        <f t="array" aca="1" ref="T25" ca="1">SUM(N(WEEKDAY(ROW(INDIRECT(T21&amp;":"&amp;T5)))=1))</f>
        <v>1</v>
      </c>
      <c r="U25" cm="1">
        <f t="array" aca="1" ref="U25" ca="1">SUM(N(WEEKDAY(ROW(INDIRECT(U21&amp;":"&amp;U5)))=1))</f>
        <v>1</v>
      </c>
      <c r="V25" cm="1">
        <f t="array" aca="1" ref="V25" ca="1">SUM(N(WEEKDAY(ROW(INDIRECT(V21&amp;":"&amp;V5)))=1))</f>
        <v>1</v>
      </c>
      <c r="W25" cm="1">
        <f t="array" aca="1" ref="W25" ca="1">SUM(N(WEEKDAY(ROW(INDIRECT(W21&amp;":"&amp;W5)))=1))</f>
        <v>1</v>
      </c>
      <c r="X25" cm="1">
        <f t="array" aca="1" ref="X25" ca="1">SUM(N(WEEKDAY(ROW(INDIRECT(X21&amp;":"&amp;X5)))=1))</f>
        <v>1</v>
      </c>
      <c r="Y25" cm="1">
        <f t="array" aca="1" ref="Y25" ca="1">SUM(N(WEEKDAY(ROW(INDIRECT(Y21&amp;":"&amp;Y5)))=1))</f>
        <v>1</v>
      </c>
    </row>
    <row r="26" spans="1:25" x14ac:dyDescent="0.3">
      <c r="A26" t="s">
        <v>12</v>
      </c>
    </row>
    <row r="27" spans="1:25" s="1" customFormat="1" x14ac:dyDescent="0.3">
      <c r="A27" s="1">
        <f>IF(A23=1,DATE(A3,12,30),DATE(A3,12,33-A23))</f>
        <v>36891</v>
      </c>
      <c r="B27" s="1">
        <f t="shared" ref="B27:Y27" si="6">IF(B23=1,DATE(B3,12,30),DATE(B3,12,33-B23))</f>
        <v>37255</v>
      </c>
      <c r="C27" s="1">
        <f t="shared" si="6"/>
        <v>37619</v>
      </c>
      <c r="D27" s="1">
        <f t="shared" si="6"/>
        <v>37983</v>
      </c>
      <c r="E27" s="1">
        <f t="shared" si="6"/>
        <v>38347</v>
      </c>
      <c r="F27" s="1">
        <f t="shared" si="6"/>
        <v>38716</v>
      </c>
      <c r="G27" s="1">
        <f t="shared" si="6"/>
        <v>39082</v>
      </c>
      <c r="H27" s="1">
        <f t="shared" si="6"/>
        <v>39446</v>
      </c>
      <c r="I27" s="1">
        <f t="shared" si="6"/>
        <v>39810</v>
      </c>
      <c r="J27" s="1">
        <f t="shared" si="6"/>
        <v>40174</v>
      </c>
      <c r="K27" s="1">
        <f t="shared" si="6"/>
        <v>40538</v>
      </c>
      <c r="L27" s="1">
        <f t="shared" si="6"/>
        <v>40907</v>
      </c>
      <c r="M27" s="1">
        <f t="shared" si="6"/>
        <v>41273</v>
      </c>
      <c r="N27" s="1">
        <f t="shared" si="6"/>
        <v>41637</v>
      </c>
      <c r="O27" s="1">
        <f t="shared" si="6"/>
        <v>42001</v>
      </c>
      <c r="P27" s="1">
        <f t="shared" si="6"/>
        <v>42365</v>
      </c>
      <c r="Q27" s="1">
        <f t="shared" si="6"/>
        <v>42734</v>
      </c>
      <c r="R27" s="1">
        <f t="shared" si="6"/>
        <v>43100</v>
      </c>
      <c r="S27" s="1">
        <f t="shared" si="6"/>
        <v>43464</v>
      </c>
      <c r="T27" s="1">
        <f t="shared" si="6"/>
        <v>43828</v>
      </c>
      <c r="U27" s="1">
        <f t="shared" si="6"/>
        <v>44192</v>
      </c>
      <c r="V27" s="1">
        <f t="shared" si="6"/>
        <v>44556</v>
      </c>
      <c r="W27" s="1">
        <f t="shared" si="6"/>
        <v>44925</v>
      </c>
      <c r="X27" s="1">
        <f t="shared" si="6"/>
        <v>45291</v>
      </c>
      <c r="Y27" s="1">
        <f t="shared" si="6"/>
        <v>45655</v>
      </c>
    </row>
    <row r="28" spans="1:25" x14ac:dyDescent="0.3">
      <c r="A28" t="s">
        <v>13</v>
      </c>
    </row>
    <row r="29" spans="1:25" x14ac:dyDescent="0.3">
      <c r="A29">
        <f>WEEKDAY(A27)</f>
        <v>1</v>
      </c>
      <c r="B29">
        <f t="shared" ref="B29:Y29" si="7">WEEKDAY(B27)</f>
        <v>1</v>
      </c>
      <c r="C29">
        <f t="shared" si="7"/>
        <v>1</v>
      </c>
      <c r="D29">
        <f t="shared" si="7"/>
        <v>1</v>
      </c>
      <c r="E29">
        <f t="shared" si="7"/>
        <v>1</v>
      </c>
      <c r="F29">
        <f t="shared" si="7"/>
        <v>6</v>
      </c>
      <c r="G29">
        <f t="shared" si="7"/>
        <v>1</v>
      </c>
      <c r="H29">
        <f t="shared" si="7"/>
        <v>1</v>
      </c>
      <c r="I29">
        <f t="shared" si="7"/>
        <v>1</v>
      </c>
      <c r="J29">
        <f t="shared" si="7"/>
        <v>1</v>
      </c>
      <c r="K29">
        <f t="shared" si="7"/>
        <v>1</v>
      </c>
      <c r="L29">
        <f t="shared" si="7"/>
        <v>6</v>
      </c>
      <c r="M29">
        <f t="shared" si="7"/>
        <v>1</v>
      </c>
      <c r="N29">
        <f t="shared" si="7"/>
        <v>1</v>
      </c>
      <c r="O29">
        <f t="shared" si="7"/>
        <v>1</v>
      </c>
      <c r="P29">
        <f t="shared" si="7"/>
        <v>1</v>
      </c>
      <c r="Q29">
        <f t="shared" si="7"/>
        <v>6</v>
      </c>
      <c r="R29">
        <f t="shared" si="7"/>
        <v>1</v>
      </c>
      <c r="S29">
        <f t="shared" si="7"/>
        <v>1</v>
      </c>
      <c r="T29">
        <f t="shared" si="7"/>
        <v>1</v>
      </c>
      <c r="U29">
        <f t="shared" si="7"/>
        <v>1</v>
      </c>
      <c r="V29">
        <f t="shared" si="7"/>
        <v>1</v>
      </c>
      <c r="W29">
        <f t="shared" si="7"/>
        <v>6</v>
      </c>
      <c r="X29">
        <f t="shared" si="7"/>
        <v>1</v>
      </c>
      <c r="Y29">
        <f t="shared" si="7"/>
        <v>1</v>
      </c>
    </row>
    <row r="30" spans="1:25" x14ac:dyDescent="0.3">
      <c r="A30" t="s">
        <v>14</v>
      </c>
    </row>
    <row r="31" spans="1:25" x14ac:dyDescent="0.3">
      <c r="A31">
        <f>WEEKDAY(B4)</f>
        <v>2</v>
      </c>
      <c r="B31">
        <f t="shared" ref="B31:Y31" si="8">WEEKDAY(C4)</f>
        <v>3</v>
      </c>
      <c r="C31">
        <f t="shared" si="8"/>
        <v>4</v>
      </c>
      <c r="D31">
        <f t="shared" si="8"/>
        <v>5</v>
      </c>
      <c r="E31">
        <f t="shared" si="8"/>
        <v>7</v>
      </c>
      <c r="F31">
        <f t="shared" si="8"/>
        <v>1</v>
      </c>
      <c r="G31">
        <f t="shared" si="8"/>
        <v>2</v>
      </c>
      <c r="H31">
        <f t="shared" si="8"/>
        <v>3</v>
      </c>
      <c r="I31">
        <f t="shared" si="8"/>
        <v>5</v>
      </c>
      <c r="J31">
        <f t="shared" si="8"/>
        <v>6</v>
      </c>
      <c r="K31">
        <f t="shared" si="8"/>
        <v>7</v>
      </c>
      <c r="L31">
        <f t="shared" si="8"/>
        <v>1</v>
      </c>
      <c r="M31">
        <f t="shared" si="8"/>
        <v>3</v>
      </c>
      <c r="N31">
        <f t="shared" si="8"/>
        <v>4</v>
      </c>
      <c r="O31">
        <f t="shared" si="8"/>
        <v>5</v>
      </c>
      <c r="P31">
        <f t="shared" si="8"/>
        <v>6</v>
      </c>
      <c r="Q31">
        <f t="shared" si="8"/>
        <v>1</v>
      </c>
      <c r="R31">
        <f t="shared" si="8"/>
        <v>2</v>
      </c>
      <c r="S31">
        <f t="shared" si="8"/>
        <v>3</v>
      </c>
      <c r="T31">
        <f t="shared" si="8"/>
        <v>4</v>
      </c>
      <c r="U31">
        <f t="shared" si="8"/>
        <v>6</v>
      </c>
      <c r="V31">
        <f t="shared" si="8"/>
        <v>7</v>
      </c>
      <c r="W31">
        <f t="shared" si="8"/>
        <v>1</v>
      </c>
      <c r="X31">
        <f t="shared" si="8"/>
        <v>2</v>
      </c>
      <c r="Y31">
        <f t="shared" si="8"/>
        <v>4</v>
      </c>
    </row>
    <row r="32" spans="1:25" x14ac:dyDescent="0.3">
      <c r="A32" t="s">
        <v>15</v>
      </c>
    </row>
    <row r="33" spans="1:25" s="1" customFormat="1" x14ac:dyDescent="0.3">
      <c r="A33" s="1">
        <f>IF(A29=1, DATE(B3, 1, DAY(A27+7)), DATE(B3, 1,DAY(B4+7)))</f>
        <v>36898</v>
      </c>
      <c r="B33" s="1">
        <f t="shared" ref="B33:Y33" si="9">IF(B29=1, DATE(C3, 1, DAY(B27+7)), DATE(C3, 1,DAY(C4+7)))</f>
        <v>37262</v>
      </c>
      <c r="C33" s="1">
        <f t="shared" si="9"/>
        <v>37626</v>
      </c>
      <c r="D33" s="1">
        <f t="shared" si="9"/>
        <v>37990</v>
      </c>
      <c r="E33" s="1">
        <f t="shared" si="9"/>
        <v>38354</v>
      </c>
      <c r="F33" s="1">
        <f t="shared" si="9"/>
        <v>38725</v>
      </c>
      <c r="G33" s="1">
        <f t="shared" si="9"/>
        <v>39089</v>
      </c>
      <c r="H33" s="1">
        <f t="shared" si="9"/>
        <v>39453</v>
      </c>
      <c r="I33" s="1">
        <f t="shared" si="9"/>
        <v>39817</v>
      </c>
      <c r="J33" s="1">
        <f t="shared" si="9"/>
        <v>40181</v>
      </c>
      <c r="K33" s="1">
        <f t="shared" si="9"/>
        <v>40545</v>
      </c>
      <c r="L33" s="1">
        <f t="shared" si="9"/>
        <v>40916</v>
      </c>
      <c r="M33" s="1">
        <f t="shared" si="9"/>
        <v>41280</v>
      </c>
      <c r="N33" s="1">
        <f t="shared" si="9"/>
        <v>41644</v>
      </c>
      <c r="O33" s="1">
        <f t="shared" si="9"/>
        <v>42008</v>
      </c>
      <c r="P33" s="1">
        <f t="shared" si="9"/>
        <v>42372</v>
      </c>
      <c r="Q33" s="1">
        <f t="shared" si="9"/>
        <v>42743</v>
      </c>
      <c r="R33" s="1">
        <f t="shared" si="9"/>
        <v>43107</v>
      </c>
      <c r="S33" s="1">
        <f t="shared" si="9"/>
        <v>43471</v>
      </c>
      <c r="T33" s="1">
        <f t="shared" si="9"/>
        <v>43835</v>
      </c>
      <c r="U33" s="1">
        <f t="shared" si="9"/>
        <v>44199</v>
      </c>
      <c r="V33" s="1">
        <f t="shared" si="9"/>
        <v>44563</v>
      </c>
      <c r="W33" s="1">
        <f t="shared" si="9"/>
        <v>44934</v>
      </c>
      <c r="X33" s="1">
        <f t="shared" si="9"/>
        <v>45298</v>
      </c>
      <c r="Y33" s="1">
        <f t="shared" si="9"/>
        <v>45662</v>
      </c>
    </row>
    <row r="34" spans="1:25" x14ac:dyDescent="0.3">
      <c r="A34" t="s">
        <v>17</v>
      </c>
    </row>
    <row r="35" spans="1:25" s="1" customFormat="1" x14ac:dyDescent="0.3">
      <c r="A35" s="1">
        <f>IF(A33&gt;=DATE(B3,1,7),DATE(B3,1,DAY(A33+1)),DATE(B3,1,DAY(A33+7)))</f>
        <v>36899</v>
      </c>
      <c r="B35" s="1">
        <f t="shared" ref="B35:Y35" si="10">IF(B33&gt;=DATE(C3,1,7),DATE(C3,1,DAY(B33+1)),DATE(C3,1,DAY(B33+7)))</f>
        <v>37269</v>
      </c>
      <c r="C35" s="1">
        <f t="shared" si="10"/>
        <v>37633</v>
      </c>
      <c r="D35" s="1">
        <f t="shared" si="10"/>
        <v>37997</v>
      </c>
      <c r="E35" s="1">
        <f t="shared" si="10"/>
        <v>38361</v>
      </c>
      <c r="F35" s="1">
        <f t="shared" si="10"/>
        <v>38726</v>
      </c>
      <c r="G35" s="1">
        <f t="shared" si="10"/>
        <v>39090</v>
      </c>
      <c r="H35" s="1">
        <f t="shared" si="10"/>
        <v>39460</v>
      </c>
      <c r="I35" s="1">
        <f t="shared" si="10"/>
        <v>39824</v>
      </c>
      <c r="J35" s="1">
        <f t="shared" si="10"/>
        <v>40188</v>
      </c>
      <c r="K35" s="1">
        <f t="shared" si="10"/>
        <v>40552</v>
      </c>
      <c r="L35" s="1">
        <f t="shared" si="10"/>
        <v>40917</v>
      </c>
      <c r="M35" s="1">
        <f t="shared" si="10"/>
        <v>41287</v>
      </c>
      <c r="N35" s="1">
        <f t="shared" si="10"/>
        <v>41651</v>
      </c>
      <c r="O35" s="1">
        <f t="shared" si="10"/>
        <v>42015</v>
      </c>
      <c r="P35" s="1">
        <f t="shared" si="10"/>
        <v>42379</v>
      </c>
      <c r="Q35" s="1">
        <f t="shared" si="10"/>
        <v>42744</v>
      </c>
      <c r="R35" s="1">
        <f t="shared" si="10"/>
        <v>43108</v>
      </c>
      <c r="S35" s="1">
        <f t="shared" si="10"/>
        <v>43478</v>
      </c>
      <c r="T35" s="1">
        <f t="shared" si="10"/>
        <v>43842</v>
      </c>
      <c r="U35" s="1">
        <f t="shared" si="10"/>
        <v>44206</v>
      </c>
      <c r="V35" s="1">
        <f t="shared" si="10"/>
        <v>44570</v>
      </c>
      <c r="W35" s="1">
        <f t="shared" si="10"/>
        <v>44935</v>
      </c>
      <c r="X35" s="1">
        <f t="shared" si="10"/>
        <v>45299</v>
      </c>
      <c r="Y35" s="1">
        <f t="shared" si="10"/>
        <v>45669</v>
      </c>
    </row>
    <row r="36" spans="1:25" x14ac:dyDescent="0.3">
      <c r="A36" t="s">
        <v>18</v>
      </c>
    </row>
    <row r="37" spans="1:25" x14ac:dyDescent="0.3">
      <c r="A37">
        <f>WEEKDAY(A35)</f>
        <v>2</v>
      </c>
      <c r="B37">
        <f t="shared" ref="B37:Y37" si="11">WEEKDAY(B35)</f>
        <v>1</v>
      </c>
      <c r="C37">
        <f t="shared" si="11"/>
        <v>1</v>
      </c>
      <c r="D37">
        <f t="shared" si="11"/>
        <v>1</v>
      </c>
      <c r="E37">
        <f t="shared" si="11"/>
        <v>1</v>
      </c>
      <c r="F37">
        <f t="shared" si="11"/>
        <v>2</v>
      </c>
      <c r="G37">
        <f t="shared" si="11"/>
        <v>2</v>
      </c>
      <c r="H37">
        <f t="shared" si="11"/>
        <v>1</v>
      </c>
      <c r="I37">
        <f t="shared" si="11"/>
        <v>1</v>
      </c>
      <c r="J37">
        <f t="shared" si="11"/>
        <v>1</v>
      </c>
      <c r="K37">
        <f t="shared" si="11"/>
        <v>1</v>
      </c>
      <c r="L37">
        <f t="shared" si="11"/>
        <v>2</v>
      </c>
      <c r="M37">
        <f t="shared" si="11"/>
        <v>1</v>
      </c>
      <c r="N37">
        <f t="shared" si="11"/>
        <v>1</v>
      </c>
      <c r="O37">
        <f t="shared" si="11"/>
        <v>1</v>
      </c>
      <c r="P37">
        <f t="shared" si="11"/>
        <v>1</v>
      </c>
      <c r="Q37">
        <f t="shared" si="11"/>
        <v>2</v>
      </c>
      <c r="R37">
        <f t="shared" si="11"/>
        <v>2</v>
      </c>
      <c r="S37">
        <f t="shared" si="11"/>
        <v>1</v>
      </c>
      <c r="T37">
        <f t="shared" si="11"/>
        <v>1</v>
      </c>
      <c r="U37">
        <f t="shared" si="11"/>
        <v>1</v>
      </c>
      <c r="V37">
        <f t="shared" si="11"/>
        <v>1</v>
      </c>
      <c r="W37">
        <f t="shared" si="11"/>
        <v>2</v>
      </c>
      <c r="X37">
        <f t="shared" si="11"/>
        <v>2</v>
      </c>
      <c r="Y37">
        <f t="shared" si="11"/>
        <v>1</v>
      </c>
    </row>
    <row r="38" spans="1:25" x14ac:dyDescent="0.3">
      <c r="A38" t="s">
        <v>21</v>
      </c>
    </row>
    <row r="39" spans="1:25" x14ac:dyDescent="0.3">
      <c r="A39">
        <f>IF(AND(A37=1, A35&gt;DATE(B3, 1, 7)), 1, IF(AND(A37=2, A33&gt;DATE(B3, 1, 7)), 1, 0))</f>
        <v>0</v>
      </c>
      <c r="B39">
        <f t="shared" ref="B39:Y39" si="12">IF(AND(B37=1, B35&gt;DATE(C3, 1, 7)), 1, IF(AND(B37=2, B33&gt;DATE(C3, 1, 7)), 1, 0))</f>
        <v>1</v>
      </c>
      <c r="C39">
        <f t="shared" si="12"/>
        <v>1</v>
      </c>
      <c r="D39">
        <f t="shared" si="12"/>
        <v>1</v>
      </c>
      <c r="E39">
        <f t="shared" si="12"/>
        <v>1</v>
      </c>
      <c r="F39">
        <f t="shared" si="12"/>
        <v>1</v>
      </c>
      <c r="G39">
        <f t="shared" si="12"/>
        <v>0</v>
      </c>
      <c r="H39">
        <f t="shared" si="12"/>
        <v>1</v>
      </c>
      <c r="I39">
        <f t="shared" si="12"/>
        <v>1</v>
      </c>
      <c r="J39">
        <f t="shared" si="12"/>
        <v>1</v>
      </c>
      <c r="K39">
        <f t="shared" si="12"/>
        <v>1</v>
      </c>
      <c r="L39">
        <f t="shared" si="12"/>
        <v>1</v>
      </c>
      <c r="M39">
        <f t="shared" si="12"/>
        <v>1</v>
      </c>
      <c r="N39">
        <f t="shared" si="12"/>
        <v>1</v>
      </c>
      <c r="O39">
        <f t="shared" si="12"/>
        <v>1</v>
      </c>
      <c r="P39">
        <f t="shared" si="12"/>
        <v>1</v>
      </c>
      <c r="Q39">
        <f t="shared" si="12"/>
        <v>1</v>
      </c>
      <c r="R39">
        <f t="shared" si="12"/>
        <v>0</v>
      </c>
      <c r="S39">
        <f t="shared" si="12"/>
        <v>1</v>
      </c>
      <c r="T39">
        <f t="shared" si="12"/>
        <v>1</v>
      </c>
      <c r="U39">
        <f t="shared" si="12"/>
        <v>1</v>
      </c>
      <c r="V39">
        <f t="shared" si="12"/>
        <v>1</v>
      </c>
      <c r="W39">
        <f t="shared" si="12"/>
        <v>1</v>
      </c>
      <c r="X39">
        <f t="shared" si="12"/>
        <v>0</v>
      </c>
      <c r="Y39">
        <f t="shared" si="12"/>
        <v>1</v>
      </c>
    </row>
  </sheetData>
  <conditionalFormatting sqref="A7:XFD7">
    <cfRule type="cellIs" dxfId="1" priority="2" operator="equal">
      <formula>53</formula>
    </cfRule>
  </conditionalFormatting>
  <conditionalFormatting sqref="A16:XFD16">
    <cfRule type="cellIs" dxfId="0" priority="1" operator="equal">
      <formula>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46D87-DEF8-4A01-96BD-8D84993B5131}">
  <dimension ref="A1:X159"/>
  <sheetViews>
    <sheetView tabSelected="1" zoomScaleNormal="100" workbookViewId="0">
      <selection activeCell="C13" sqref="C13"/>
    </sheetView>
  </sheetViews>
  <sheetFormatPr defaultColWidth="9.109375" defaultRowHeight="14.4" x14ac:dyDescent="0.3"/>
  <cols>
    <col min="1" max="24" width="15.6640625" style="2" customWidth="1"/>
    <col min="25" max="16384" width="9.109375" style="2"/>
  </cols>
  <sheetData>
    <row r="1" spans="1:24" x14ac:dyDescent="0.3">
      <c r="A1" s="2" t="s">
        <v>22</v>
      </c>
    </row>
    <row r="3" spans="1:24" x14ac:dyDescent="0.3">
      <c r="A3" s="2">
        <v>2017</v>
      </c>
      <c r="B3" s="2">
        <v>2018</v>
      </c>
      <c r="C3" s="2">
        <v>2019</v>
      </c>
      <c r="D3" s="2">
        <v>2020</v>
      </c>
      <c r="E3" s="2">
        <v>2021</v>
      </c>
      <c r="F3" s="2">
        <v>2022</v>
      </c>
      <c r="G3" s="2">
        <v>2023</v>
      </c>
      <c r="H3" s="2">
        <v>2024</v>
      </c>
      <c r="I3" s="2">
        <v>2025</v>
      </c>
      <c r="J3" s="2">
        <v>2026</v>
      </c>
      <c r="K3" s="2">
        <v>2027</v>
      </c>
      <c r="L3" s="2">
        <v>2028</v>
      </c>
      <c r="M3" s="2">
        <v>2029</v>
      </c>
      <c r="N3" s="2">
        <v>2030</v>
      </c>
      <c r="O3" s="2">
        <v>2031</v>
      </c>
      <c r="P3" s="2">
        <v>2032</v>
      </c>
      <c r="Q3" s="2">
        <v>2033</v>
      </c>
      <c r="R3" s="2">
        <v>2034</v>
      </c>
      <c r="S3" s="2">
        <v>2035</v>
      </c>
      <c r="T3" s="2">
        <v>2036</v>
      </c>
      <c r="U3" s="2">
        <v>2037</v>
      </c>
      <c r="V3" s="2">
        <v>2038</v>
      </c>
      <c r="W3" s="2">
        <v>2039</v>
      </c>
      <c r="X3" s="2">
        <v>2040</v>
      </c>
    </row>
    <row r="4" spans="1:24" x14ac:dyDescent="0.3">
      <c r="A4" s="3" t="str">
        <f>IF(OR(MOD(A3,400)=0,AND(MOD(A3,4)=0,MOD(A3,100)&lt;&gt;0)),"윤년", "평년")</f>
        <v>평년</v>
      </c>
      <c r="B4" s="3" t="str">
        <f t="shared" ref="B4:X4" si="0">IF(OR(MOD(B3,400)=0,AND(MOD(B3,4)=0,MOD(B3,100)&lt;&gt;0)),"윤년", "평년")</f>
        <v>평년</v>
      </c>
      <c r="C4" s="3" t="str">
        <f t="shared" si="0"/>
        <v>평년</v>
      </c>
      <c r="D4" s="3" t="str">
        <f t="shared" si="0"/>
        <v>윤년</v>
      </c>
      <c r="E4" s="3" t="str">
        <f t="shared" si="0"/>
        <v>평년</v>
      </c>
      <c r="F4" s="3" t="str">
        <f t="shared" si="0"/>
        <v>평년</v>
      </c>
      <c r="G4" s="3" t="str">
        <f t="shared" si="0"/>
        <v>평년</v>
      </c>
      <c r="H4" s="3" t="str">
        <f t="shared" si="0"/>
        <v>윤년</v>
      </c>
      <c r="I4" s="3" t="str">
        <f t="shared" si="0"/>
        <v>평년</v>
      </c>
      <c r="J4" s="3" t="str">
        <f t="shared" si="0"/>
        <v>평년</v>
      </c>
      <c r="K4" s="3" t="str">
        <f t="shared" si="0"/>
        <v>평년</v>
      </c>
      <c r="L4" s="3" t="str">
        <f t="shared" si="0"/>
        <v>윤년</v>
      </c>
      <c r="M4" s="3" t="str">
        <f t="shared" si="0"/>
        <v>평년</v>
      </c>
      <c r="N4" s="3" t="str">
        <f t="shared" si="0"/>
        <v>평년</v>
      </c>
      <c r="O4" s="3" t="str">
        <f t="shared" si="0"/>
        <v>평년</v>
      </c>
      <c r="P4" s="3" t="str">
        <f t="shared" si="0"/>
        <v>윤년</v>
      </c>
      <c r="Q4" s="3" t="str">
        <f t="shared" si="0"/>
        <v>평년</v>
      </c>
      <c r="R4" s="3" t="str">
        <f t="shared" si="0"/>
        <v>평년</v>
      </c>
      <c r="S4" s="3" t="str">
        <f t="shared" si="0"/>
        <v>평년</v>
      </c>
      <c r="T4" s="3" t="str">
        <f t="shared" si="0"/>
        <v>윤년</v>
      </c>
      <c r="U4" s="3" t="str">
        <f t="shared" si="0"/>
        <v>평년</v>
      </c>
      <c r="V4" s="3" t="str">
        <f t="shared" si="0"/>
        <v>평년</v>
      </c>
      <c r="W4" s="3" t="str">
        <f t="shared" si="0"/>
        <v>평년</v>
      </c>
      <c r="X4" s="3" t="str">
        <f t="shared" si="0"/>
        <v>윤년</v>
      </c>
    </row>
    <row r="6" spans="1:24" s="5" customFormat="1" x14ac:dyDescent="0.3">
      <c r="A6" s="5" t="s">
        <v>23</v>
      </c>
      <c r="B6" s="5" t="s">
        <v>28</v>
      </c>
    </row>
    <row r="8" spans="1:24" x14ac:dyDescent="0.3">
      <c r="A8" s="4">
        <f>DATE(A3,MONTH(A13),DAY(A13)-21)</f>
        <v>43072</v>
      </c>
      <c r="B8" s="4">
        <f t="shared" ref="B8:X8" si="1">DATE(B3,MONTH(B13),DAY(B13)-21)</f>
        <v>43436</v>
      </c>
      <c r="C8" s="4">
        <f t="shared" si="1"/>
        <v>43800</v>
      </c>
      <c r="D8" s="4">
        <f t="shared" si="1"/>
        <v>44164</v>
      </c>
      <c r="E8" s="4">
        <f t="shared" si="1"/>
        <v>44528</v>
      </c>
      <c r="F8" s="4">
        <f t="shared" si="1"/>
        <v>44892</v>
      </c>
      <c r="G8" s="4">
        <f t="shared" si="1"/>
        <v>45263</v>
      </c>
      <c r="H8" s="4">
        <f t="shared" si="1"/>
        <v>45627</v>
      </c>
      <c r="I8" s="4">
        <f t="shared" si="1"/>
        <v>45991</v>
      </c>
      <c r="J8" s="4">
        <f t="shared" si="1"/>
        <v>46355</v>
      </c>
      <c r="K8" s="4">
        <f t="shared" si="1"/>
        <v>46719</v>
      </c>
      <c r="L8" s="4">
        <f t="shared" si="1"/>
        <v>47090</v>
      </c>
      <c r="M8" s="4">
        <f t="shared" si="1"/>
        <v>47454</v>
      </c>
      <c r="N8" s="4">
        <f t="shared" si="1"/>
        <v>47818</v>
      </c>
      <c r="O8" s="4">
        <f t="shared" si="1"/>
        <v>48182</v>
      </c>
      <c r="P8" s="4">
        <f t="shared" si="1"/>
        <v>48546</v>
      </c>
      <c r="Q8" s="4">
        <f t="shared" si="1"/>
        <v>48910</v>
      </c>
      <c r="R8" s="4">
        <f t="shared" si="1"/>
        <v>49281</v>
      </c>
      <c r="S8" s="4">
        <f t="shared" si="1"/>
        <v>49645</v>
      </c>
      <c r="T8" s="4">
        <f t="shared" si="1"/>
        <v>50009</v>
      </c>
      <c r="U8" s="4">
        <f t="shared" si="1"/>
        <v>50373</v>
      </c>
      <c r="V8" s="4">
        <f t="shared" si="1"/>
        <v>50737</v>
      </c>
      <c r="W8" s="4">
        <f t="shared" si="1"/>
        <v>51101</v>
      </c>
      <c r="X8" s="4">
        <f t="shared" si="1"/>
        <v>51472</v>
      </c>
    </row>
    <row r="9" spans="1:24" x14ac:dyDescent="0.3">
      <c r="A9" s="2">
        <f>WEEKDAY(A8)</f>
        <v>1</v>
      </c>
      <c r="B9" s="2">
        <f t="shared" ref="B9:X9" si="2">WEEKDAY(B8)</f>
        <v>1</v>
      </c>
      <c r="C9" s="2">
        <f t="shared" si="2"/>
        <v>1</v>
      </c>
      <c r="D9" s="2">
        <f t="shared" si="2"/>
        <v>1</v>
      </c>
      <c r="E9" s="2">
        <f t="shared" si="2"/>
        <v>1</v>
      </c>
      <c r="F9" s="2">
        <f t="shared" si="2"/>
        <v>1</v>
      </c>
      <c r="G9" s="2">
        <f t="shared" si="2"/>
        <v>1</v>
      </c>
      <c r="H9" s="2">
        <f t="shared" si="2"/>
        <v>1</v>
      </c>
      <c r="I9" s="2">
        <f t="shared" si="2"/>
        <v>1</v>
      </c>
      <c r="J9" s="2">
        <f t="shared" si="2"/>
        <v>1</v>
      </c>
      <c r="K9" s="2">
        <f t="shared" si="2"/>
        <v>1</v>
      </c>
      <c r="L9" s="2">
        <f t="shared" si="2"/>
        <v>1</v>
      </c>
      <c r="M9" s="2">
        <f t="shared" si="2"/>
        <v>1</v>
      </c>
      <c r="N9" s="2">
        <f t="shared" si="2"/>
        <v>1</v>
      </c>
      <c r="O9" s="2">
        <f t="shared" si="2"/>
        <v>1</v>
      </c>
      <c r="P9" s="2">
        <f t="shared" si="2"/>
        <v>1</v>
      </c>
      <c r="Q9" s="2">
        <f t="shared" si="2"/>
        <v>1</v>
      </c>
      <c r="R9" s="2">
        <f t="shared" si="2"/>
        <v>1</v>
      </c>
      <c r="S9" s="2">
        <f t="shared" si="2"/>
        <v>1</v>
      </c>
      <c r="T9" s="2">
        <f t="shared" si="2"/>
        <v>1</v>
      </c>
      <c r="U9" s="2">
        <f t="shared" si="2"/>
        <v>1</v>
      </c>
      <c r="V9" s="2">
        <f t="shared" si="2"/>
        <v>1</v>
      </c>
      <c r="W9" s="2">
        <f t="shared" si="2"/>
        <v>1</v>
      </c>
      <c r="X9" s="2">
        <f t="shared" si="2"/>
        <v>1</v>
      </c>
    </row>
    <row r="11" spans="1:24" s="5" customFormat="1" x14ac:dyDescent="0.3">
      <c r="A11" s="5" t="s">
        <v>24</v>
      </c>
      <c r="B11" s="5" t="s">
        <v>26</v>
      </c>
    </row>
    <row r="13" spans="1:24" x14ac:dyDescent="0.3">
      <c r="A13" s="2" t="str">
        <f>TEXT(IF(A19=1,DATE(A3,12,DAY(A18)-7),DATE(A3,12,DAY(A18)-(A19-1))),"M/d/yyyy")</f>
        <v>12/24/2017</v>
      </c>
      <c r="B13" s="2" t="str">
        <f t="shared" ref="B13:X13" si="3">TEXT(IF(B19=1,DATE(B3,12,DAY(B18)-7),DATE(B3,12,DAY(B18)-(B19-1))),"M/d/yyyy")</f>
        <v>12/23/2018</v>
      </c>
      <c r="C13" s="2" t="str">
        <f t="shared" si="3"/>
        <v>12/22/2019</v>
      </c>
      <c r="D13" s="2" t="str">
        <f t="shared" si="3"/>
        <v>12/20/2020</v>
      </c>
      <c r="E13" s="2" t="str">
        <f t="shared" si="3"/>
        <v>12/19/2021</v>
      </c>
      <c r="F13" s="2" t="str">
        <f t="shared" si="3"/>
        <v>12/18/2022</v>
      </c>
      <c r="G13" s="2" t="str">
        <f t="shared" si="3"/>
        <v>12/24/2023</v>
      </c>
      <c r="H13" s="2" t="str">
        <f t="shared" si="3"/>
        <v>12/22/2024</v>
      </c>
      <c r="I13" s="2" t="str">
        <f t="shared" si="3"/>
        <v>12/21/2025</v>
      </c>
      <c r="J13" s="2" t="str">
        <f t="shared" si="3"/>
        <v>12/20/2026</v>
      </c>
      <c r="K13" s="2" t="str">
        <f t="shared" si="3"/>
        <v>12/19/2027</v>
      </c>
      <c r="L13" s="2" t="str">
        <f t="shared" si="3"/>
        <v>12/24/2028</v>
      </c>
      <c r="M13" s="2" t="str">
        <f t="shared" si="3"/>
        <v>12/23/2029</v>
      </c>
      <c r="N13" s="2" t="str">
        <f t="shared" si="3"/>
        <v>12/22/2030</v>
      </c>
      <c r="O13" s="2" t="str">
        <f t="shared" si="3"/>
        <v>12/21/2031</v>
      </c>
      <c r="P13" s="2" t="str">
        <f t="shared" si="3"/>
        <v>12/19/2032</v>
      </c>
      <c r="Q13" s="2" t="str">
        <f t="shared" si="3"/>
        <v>12/18/2033</v>
      </c>
      <c r="R13" s="2" t="str">
        <f t="shared" si="3"/>
        <v>12/24/2034</v>
      </c>
      <c r="S13" s="2" t="str">
        <f t="shared" si="3"/>
        <v>12/23/2035</v>
      </c>
      <c r="T13" s="2" t="str">
        <f t="shared" si="3"/>
        <v>12/21/2036</v>
      </c>
      <c r="U13" s="2" t="str">
        <f t="shared" si="3"/>
        <v>12/20/2037</v>
      </c>
      <c r="V13" s="2" t="str">
        <f t="shared" si="3"/>
        <v>12/19/2038</v>
      </c>
      <c r="W13" s="2" t="str">
        <f t="shared" si="3"/>
        <v>12/18/2039</v>
      </c>
      <c r="X13" s="2" t="str">
        <f t="shared" si="3"/>
        <v>12/23/2040</v>
      </c>
    </row>
    <row r="14" spans="1:24" x14ac:dyDescent="0.3">
      <c r="A14" s="2">
        <f>WEEKDAY(A13)</f>
        <v>1</v>
      </c>
      <c r="B14" s="2">
        <f t="shared" ref="B14:X14" si="4">WEEKDAY(B13)</f>
        <v>1</v>
      </c>
      <c r="C14" s="2">
        <f t="shared" si="4"/>
        <v>1</v>
      </c>
      <c r="D14" s="2">
        <f t="shared" si="4"/>
        <v>1</v>
      </c>
      <c r="E14" s="2">
        <f t="shared" si="4"/>
        <v>1</v>
      </c>
      <c r="F14" s="2">
        <f t="shared" si="4"/>
        <v>1</v>
      </c>
      <c r="G14" s="2">
        <f t="shared" si="4"/>
        <v>1</v>
      </c>
      <c r="H14" s="2">
        <f t="shared" si="4"/>
        <v>1</v>
      </c>
      <c r="I14" s="2">
        <f t="shared" si="4"/>
        <v>1</v>
      </c>
      <c r="J14" s="2">
        <f t="shared" si="4"/>
        <v>1</v>
      </c>
      <c r="K14" s="2">
        <f t="shared" si="4"/>
        <v>1</v>
      </c>
      <c r="L14" s="2">
        <f t="shared" si="4"/>
        <v>1</v>
      </c>
      <c r="M14" s="2">
        <f t="shared" si="4"/>
        <v>1</v>
      </c>
      <c r="N14" s="2">
        <f t="shared" si="4"/>
        <v>1</v>
      </c>
      <c r="O14" s="2">
        <f t="shared" si="4"/>
        <v>1</v>
      </c>
      <c r="P14" s="2">
        <f t="shared" si="4"/>
        <v>1</v>
      </c>
      <c r="Q14" s="2">
        <f t="shared" si="4"/>
        <v>1</v>
      </c>
      <c r="R14" s="2">
        <f t="shared" si="4"/>
        <v>1</v>
      </c>
      <c r="S14" s="2">
        <f t="shared" si="4"/>
        <v>1</v>
      </c>
      <c r="T14" s="2">
        <f t="shared" si="4"/>
        <v>1</v>
      </c>
      <c r="U14" s="2">
        <f t="shared" si="4"/>
        <v>1</v>
      </c>
      <c r="V14" s="2">
        <f t="shared" si="4"/>
        <v>1</v>
      </c>
      <c r="W14" s="2">
        <f t="shared" si="4"/>
        <v>1</v>
      </c>
      <c r="X14" s="2">
        <f t="shared" si="4"/>
        <v>1</v>
      </c>
    </row>
    <row r="16" spans="1:24" s="5" customFormat="1" x14ac:dyDescent="0.3">
      <c r="A16" s="5" t="s">
        <v>25</v>
      </c>
      <c r="B16" s="5" t="s">
        <v>27</v>
      </c>
    </row>
    <row r="18" spans="1:24" x14ac:dyDescent="0.3">
      <c r="A18" s="4">
        <f t="shared" ref="A18:X18" si="5">DATE(A3,12,25)</f>
        <v>43094</v>
      </c>
      <c r="B18" s="4">
        <f t="shared" si="5"/>
        <v>43459</v>
      </c>
      <c r="C18" s="4">
        <f t="shared" si="5"/>
        <v>43824</v>
      </c>
      <c r="D18" s="4">
        <f t="shared" si="5"/>
        <v>44190</v>
      </c>
      <c r="E18" s="4">
        <f t="shared" si="5"/>
        <v>44555</v>
      </c>
      <c r="F18" s="4">
        <f t="shared" si="5"/>
        <v>44920</v>
      </c>
      <c r="G18" s="4">
        <f t="shared" si="5"/>
        <v>45285</v>
      </c>
      <c r="H18" s="4">
        <f t="shared" si="5"/>
        <v>45651</v>
      </c>
      <c r="I18" s="4">
        <f t="shared" si="5"/>
        <v>46016</v>
      </c>
      <c r="J18" s="4">
        <f t="shared" si="5"/>
        <v>46381</v>
      </c>
      <c r="K18" s="4">
        <f t="shared" si="5"/>
        <v>46746</v>
      </c>
      <c r="L18" s="4">
        <f t="shared" si="5"/>
        <v>47112</v>
      </c>
      <c r="M18" s="4">
        <f t="shared" si="5"/>
        <v>47477</v>
      </c>
      <c r="N18" s="4">
        <f t="shared" si="5"/>
        <v>47842</v>
      </c>
      <c r="O18" s="4">
        <f t="shared" si="5"/>
        <v>48207</v>
      </c>
      <c r="P18" s="4">
        <f t="shared" si="5"/>
        <v>48573</v>
      </c>
      <c r="Q18" s="4">
        <f t="shared" si="5"/>
        <v>48938</v>
      </c>
      <c r="R18" s="4">
        <f t="shared" si="5"/>
        <v>49303</v>
      </c>
      <c r="S18" s="4">
        <f t="shared" si="5"/>
        <v>49668</v>
      </c>
      <c r="T18" s="4">
        <f t="shared" si="5"/>
        <v>50034</v>
      </c>
      <c r="U18" s="4">
        <f t="shared" si="5"/>
        <v>50399</v>
      </c>
      <c r="V18" s="4">
        <f t="shared" si="5"/>
        <v>50764</v>
      </c>
      <c r="W18" s="4">
        <f t="shared" si="5"/>
        <v>51129</v>
      </c>
      <c r="X18" s="4">
        <f t="shared" si="5"/>
        <v>51495</v>
      </c>
    </row>
    <row r="19" spans="1:24" x14ac:dyDescent="0.3">
      <c r="A19" s="2">
        <f t="shared" ref="A19:X19" si="6">WEEKDAY(A18)</f>
        <v>2</v>
      </c>
      <c r="B19" s="2">
        <f t="shared" si="6"/>
        <v>3</v>
      </c>
      <c r="C19" s="2">
        <f t="shared" si="6"/>
        <v>4</v>
      </c>
      <c r="D19" s="2">
        <f t="shared" si="6"/>
        <v>6</v>
      </c>
      <c r="E19" s="2">
        <f t="shared" si="6"/>
        <v>7</v>
      </c>
      <c r="F19" s="2">
        <f t="shared" si="6"/>
        <v>1</v>
      </c>
      <c r="G19" s="2">
        <f t="shared" si="6"/>
        <v>2</v>
      </c>
      <c r="H19" s="2">
        <f t="shared" si="6"/>
        <v>4</v>
      </c>
      <c r="I19" s="2">
        <f t="shared" si="6"/>
        <v>5</v>
      </c>
      <c r="J19" s="2">
        <f t="shared" si="6"/>
        <v>6</v>
      </c>
      <c r="K19" s="2">
        <f t="shared" si="6"/>
        <v>7</v>
      </c>
      <c r="L19" s="2">
        <f t="shared" si="6"/>
        <v>2</v>
      </c>
      <c r="M19" s="2">
        <f t="shared" si="6"/>
        <v>3</v>
      </c>
      <c r="N19" s="2">
        <f t="shared" si="6"/>
        <v>4</v>
      </c>
      <c r="O19" s="2">
        <f t="shared" si="6"/>
        <v>5</v>
      </c>
      <c r="P19" s="2">
        <f t="shared" si="6"/>
        <v>7</v>
      </c>
      <c r="Q19" s="2">
        <f t="shared" si="6"/>
        <v>1</v>
      </c>
      <c r="R19" s="2">
        <f t="shared" si="6"/>
        <v>2</v>
      </c>
      <c r="S19" s="2">
        <f t="shared" si="6"/>
        <v>3</v>
      </c>
      <c r="T19" s="2">
        <f t="shared" si="6"/>
        <v>5</v>
      </c>
      <c r="U19" s="2">
        <f t="shared" si="6"/>
        <v>6</v>
      </c>
      <c r="V19" s="2">
        <f t="shared" si="6"/>
        <v>7</v>
      </c>
      <c r="W19" s="2">
        <f t="shared" si="6"/>
        <v>1</v>
      </c>
      <c r="X19" s="2">
        <f t="shared" si="6"/>
        <v>3</v>
      </c>
    </row>
    <row r="21" spans="1:24" s="5" customFormat="1" x14ac:dyDescent="0.3">
      <c r="A21" s="5" t="s">
        <v>29</v>
      </c>
      <c r="B21" s="5" t="s">
        <v>30</v>
      </c>
      <c r="D21" s="5" t="s">
        <v>31</v>
      </c>
    </row>
    <row r="23" spans="1:24" x14ac:dyDescent="0.3">
      <c r="A23" s="2" t="str">
        <f>TEXT(IF(A19=1,DATE(A3,12,30),DATE(A3,12,DAY(A18)+(7-A19+1))),"M/d/yyyy")</f>
        <v>12/31/2017</v>
      </c>
      <c r="B23" s="2" t="str">
        <f t="shared" ref="B23:X23" si="7">TEXT(IF(B19=1,DATE(B3,12,30),DATE(B3,12,DAY(B18)+(7-B19+1))),"M/d/yyyy")</f>
        <v>12/30/2018</v>
      </c>
      <c r="C23" s="2" t="str">
        <f t="shared" si="7"/>
        <v>12/29/2019</v>
      </c>
      <c r="D23" s="2" t="str">
        <f t="shared" si="7"/>
        <v>12/27/2020</v>
      </c>
      <c r="E23" s="2" t="str">
        <f t="shared" si="7"/>
        <v>12/26/2021</v>
      </c>
      <c r="F23" s="2" t="str">
        <f t="shared" si="7"/>
        <v>12/30/2022</v>
      </c>
      <c r="G23" s="2" t="str">
        <f t="shared" si="7"/>
        <v>12/31/2023</v>
      </c>
      <c r="H23" s="2" t="str">
        <f t="shared" si="7"/>
        <v>12/29/2024</v>
      </c>
      <c r="I23" s="2" t="str">
        <f t="shared" si="7"/>
        <v>12/28/2025</v>
      </c>
      <c r="J23" s="2" t="str">
        <f t="shared" si="7"/>
        <v>12/27/2026</v>
      </c>
      <c r="K23" s="2" t="str">
        <f t="shared" si="7"/>
        <v>12/26/2027</v>
      </c>
      <c r="L23" s="2" t="str">
        <f t="shared" si="7"/>
        <v>12/31/2028</v>
      </c>
      <c r="M23" s="2" t="str">
        <f t="shared" si="7"/>
        <v>12/30/2029</v>
      </c>
      <c r="N23" s="2" t="str">
        <f t="shared" si="7"/>
        <v>12/29/2030</v>
      </c>
      <c r="O23" s="2" t="str">
        <f t="shared" si="7"/>
        <v>12/28/2031</v>
      </c>
      <c r="P23" s="2" t="str">
        <f t="shared" si="7"/>
        <v>12/26/2032</v>
      </c>
      <c r="Q23" s="2" t="str">
        <f t="shared" si="7"/>
        <v>12/30/2033</v>
      </c>
      <c r="R23" s="2" t="str">
        <f t="shared" si="7"/>
        <v>12/31/2034</v>
      </c>
      <c r="S23" s="2" t="str">
        <f t="shared" si="7"/>
        <v>12/30/2035</v>
      </c>
      <c r="T23" s="2" t="str">
        <f t="shared" si="7"/>
        <v>12/28/2036</v>
      </c>
      <c r="U23" s="2" t="str">
        <f t="shared" si="7"/>
        <v>12/27/2037</v>
      </c>
      <c r="V23" s="2" t="str">
        <f t="shared" si="7"/>
        <v>12/26/2038</v>
      </c>
      <c r="W23" s="2" t="str">
        <f t="shared" si="7"/>
        <v>12/30/2039</v>
      </c>
      <c r="X23" s="2" t="str">
        <f t="shared" si="7"/>
        <v>12/30/2040</v>
      </c>
    </row>
    <row r="24" spans="1:24" x14ac:dyDescent="0.3">
      <c r="A24" s="2">
        <f>WEEKDAY(A23)</f>
        <v>1</v>
      </c>
      <c r="B24" s="2">
        <f t="shared" ref="B24:X24" si="8">WEEKDAY(B23)</f>
        <v>1</v>
      </c>
      <c r="C24" s="2">
        <f t="shared" si="8"/>
        <v>1</v>
      </c>
      <c r="D24" s="2">
        <f t="shared" si="8"/>
        <v>1</v>
      </c>
      <c r="E24" s="2">
        <f t="shared" si="8"/>
        <v>1</v>
      </c>
      <c r="F24" s="2">
        <f t="shared" si="8"/>
        <v>6</v>
      </c>
      <c r="G24" s="2">
        <f t="shared" si="8"/>
        <v>1</v>
      </c>
      <c r="H24" s="2">
        <f t="shared" si="8"/>
        <v>1</v>
      </c>
      <c r="I24" s="2">
        <f t="shared" si="8"/>
        <v>1</v>
      </c>
      <c r="J24" s="2">
        <f t="shared" si="8"/>
        <v>1</v>
      </c>
      <c r="K24" s="2">
        <f t="shared" si="8"/>
        <v>1</v>
      </c>
      <c r="L24" s="2">
        <f t="shared" si="8"/>
        <v>1</v>
      </c>
      <c r="M24" s="2">
        <f t="shared" si="8"/>
        <v>1</v>
      </c>
      <c r="N24" s="2">
        <f t="shared" si="8"/>
        <v>1</v>
      </c>
      <c r="O24" s="2">
        <f t="shared" si="8"/>
        <v>1</v>
      </c>
      <c r="P24" s="2">
        <f t="shared" si="8"/>
        <v>1</v>
      </c>
      <c r="Q24" s="2">
        <f t="shared" si="8"/>
        <v>6</v>
      </c>
      <c r="R24" s="2">
        <f t="shared" si="8"/>
        <v>1</v>
      </c>
      <c r="S24" s="2">
        <f t="shared" si="8"/>
        <v>1</v>
      </c>
      <c r="T24" s="2">
        <f t="shared" si="8"/>
        <v>1</v>
      </c>
      <c r="U24" s="2">
        <f t="shared" si="8"/>
        <v>1</v>
      </c>
      <c r="V24" s="2">
        <f t="shared" si="8"/>
        <v>1</v>
      </c>
      <c r="W24" s="2">
        <f t="shared" si="8"/>
        <v>6</v>
      </c>
      <c r="X24" s="2">
        <f t="shared" si="8"/>
        <v>1</v>
      </c>
    </row>
    <row r="26" spans="1:24" s="5" customFormat="1" x14ac:dyDescent="0.3">
      <c r="A26" s="5" t="s">
        <v>32</v>
      </c>
    </row>
    <row r="28" spans="1:24" x14ac:dyDescent="0.3">
      <c r="A28" s="4">
        <f>DATE(A3+1, 1, 1)</f>
        <v>43101</v>
      </c>
      <c r="B28" s="4">
        <f t="shared" ref="B28:X28" si="9">DATE(B3+1, 1, 1)</f>
        <v>43466</v>
      </c>
      <c r="C28" s="4">
        <f t="shared" si="9"/>
        <v>43831</v>
      </c>
      <c r="D28" s="4">
        <f t="shared" si="9"/>
        <v>44197</v>
      </c>
      <c r="E28" s="4">
        <f t="shared" si="9"/>
        <v>44562</v>
      </c>
      <c r="F28" s="4">
        <f t="shared" si="9"/>
        <v>44927</v>
      </c>
      <c r="G28" s="4">
        <f t="shared" si="9"/>
        <v>45292</v>
      </c>
      <c r="H28" s="4">
        <f t="shared" si="9"/>
        <v>45658</v>
      </c>
      <c r="I28" s="4">
        <f t="shared" si="9"/>
        <v>46023</v>
      </c>
      <c r="J28" s="4">
        <f t="shared" si="9"/>
        <v>46388</v>
      </c>
      <c r="K28" s="4">
        <f t="shared" si="9"/>
        <v>46753</v>
      </c>
      <c r="L28" s="4">
        <f t="shared" si="9"/>
        <v>47119</v>
      </c>
      <c r="M28" s="4">
        <f t="shared" si="9"/>
        <v>47484</v>
      </c>
      <c r="N28" s="4">
        <f t="shared" si="9"/>
        <v>47849</v>
      </c>
      <c r="O28" s="4">
        <f t="shared" si="9"/>
        <v>48214</v>
      </c>
      <c r="P28" s="4">
        <f t="shared" si="9"/>
        <v>48580</v>
      </c>
      <c r="Q28" s="4">
        <f t="shared" si="9"/>
        <v>48945</v>
      </c>
      <c r="R28" s="4">
        <f t="shared" si="9"/>
        <v>49310</v>
      </c>
      <c r="S28" s="4">
        <f t="shared" si="9"/>
        <v>49675</v>
      </c>
      <c r="T28" s="4">
        <f t="shared" si="9"/>
        <v>50041</v>
      </c>
      <c r="U28" s="4">
        <f t="shared" si="9"/>
        <v>50406</v>
      </c>
      <c r="V28" s="4">
        <f t="shared" si="9"/>
        <v>50771</v>
      </c>
      <c r="W28" s="4">
        <f t="shared" si="9"/>
        <v>51136</v>
      </c>
      <c r="X28" s="4">
        <f t="shared" si="9"/>
        <v>51502</v>
      </c>
    </row>
    <row r="29" spans="1:24" x14ac:dyDescent="0.3">
      <c r="A29" s="2">
        <f>WEEKDAY(A28)</f>
        <v>2</v>
      </c>
      <c r="B29" s="2">
        <f t="shared" ref="B29:X29" si="10">WEEKDAY(B28)</f>
        <v>3</v>
      </c>
      <c r="C29" s="2">
        <f t="shared" si="10"/>
        <v>4</v>
      </c>
      <c r="D29" s="2">
        <f t="shared" si="10"/>
        <v>6</v>
      </c>
      <c r="E29" s="2">
        <f t="shared" si="10"/>
        <v>7</v>
      </c>
      <c r="F29" s="2">
        <f t="shared" si="10"/>
        <v>1</v>
      </c>
      <c r="G29" s="2">
        <f t="shared" si="10"/>
        <v>2</v>
      </c>
      <c r="H29" s="2">
        <f t="shared" si="10"/>
        <v>4</v>
      </c>
      <c r="I29" s="2">
        <f t="shared" si="10"/>
        <v>5</v>
      </c>
      <c r="J29" s="2">
        <f t="shared" si="10"/>
        <v>6</v>
      </c>
      <c r="K29" s="2">
        <f t="shared" si="10"/>
        <v>7</v>
      </c>
      <c r="L29" s="2">
        <f t="shared" si="10"/>
        <v>2</v>
      </c>
      <c r="M29" s="2">
        <f t="shared" si="10"/>
        <v>3</v>
      </c>
      <c r="N29" s="2">
        <f t="shared" si="10"/>
        <v>4</v>
      </c>
      <c r="O29" s="2">
        <f t="shared" si="10"/>
        <v>5</v>
      </c>
      <c r="P29" s="2">
        <f t="shared" si="10"/>
        <v>7</v>
      </c>
      <c r="Q29" s="2">
        <f t="shared" si="10"/>
        <v>1</v>
      </c>
      <c r="R29" s="2">
        <f t="shared" si="10"/>
        <v>2</v>
      </c>
      <c r="S29" s="2">
        <f t="shared" si="10"/>
        <v>3</v>
      </c>
      <c r="T29" s="2">
        <f t="shared" si="10"/>
        <v>5</v>
      </c>
      <c r="U29" s="2">
        <f t="shared" si="10"/>
        <v>6</v>
      </c>
      <c r="V29" s="2">
        <f t="shared" si="10"/>
        <v>7</v>
      </c>
      <c r="W29" s="2">
        <f t="shared" si="10"/>
        <v>1</v>
      </c>
      <c r="X29" s="2">
        <f t="shared" si="10"/>
        <v>3</v>
      </c>
    </row>
    <row r="31" spans="1:24" s="5" customFormat="1" x14ac:dyDescent="0.3">
      <c r="A31" s="5" t="s">
        <v>15</v>
      </c>
      <c r="C31" s="5" t="s">
        <v>33</v>
      </c>
      <c r="E31" s="5" t="s">
        <v>36</v>
      </c>
    </row>
    <row r="33" spans="1:24" x14ac:dyDescent="0.3">
      <c r="A33" s="4">
        <f>DATE(A3+1,1,6)</f>
        <v>43106</v>
      </c>
      <c r="B33" s="4">
        <f t="shared" ref="B33:X33" si="11">DATE(B3+1,1,6)</f>
        <v>43471</v>
      </c>
      <c r="C33" s="4">
        <f t="shared" si="11"/>
        <v>43836</v>
      </c>
      <c r="D33" s="4">
        <f t="shared" si="11"/>
        <v>44202</v>
      </c>
      <c r="E33" s="4">
        <f t="shared" si="11"/>
        <v>44567</v>
      </c>
      <c r="F33" s="4">
        <f t="shared" si="11"/>
        <v>44932</v>
      </c>
      <c r="G33" s="4">
        <f t="shared" si="11"/>
        <v>45297</v>
      </c>
      <c r="H33" s="4">
        <f t="shared" si="11"/>
        <v>45663</v>
      </c>
      <c r="I33" s="4">
        <f t="shared" si="11"/>
        <v>46028</v>
      </c>
      <c r="J33" s="4">
        <f t="shared" si="11"/>
        <v>46393</v>
      </c>
      <c r="K33" s="4">
        <f t="shared" si="11"/>
        <v>46758</v>
      </c>
      <c r="L33" s="4">
        <f t="shared" si="11"/>
        <v>47124</v>
      </c>
      <c r="M33" s="4">
        <f t="shared" si="11"/>
        <v>47489</v>
      </c>
      <c r="N33" s="4">
        <f t="shared" si="11"/>
        <v>47854</v>
      </c>
      <c r="O33" s="4">
        <f t="shared" si="11"/>
        <v>48219</v>
      </c>
      <c r="P33" s="4">
        <f t="shared" si="11"/>
        <v>48585</v>
      </c>
      <c r="Q33" s="4">
        <f t="shared" si="11"/>
        <v>48950</v>
      </c>
      <c r="R33" s="4">
        <f t="shared" si="11"/>
        <v>49315</v>
      </c>
      <c r="S33" s="4">
        <f t="shared" si="11"/>
        <v>49680</v>
      </c>
      <c r="T33" s="4">
        <f t="shared" si="11"/>
        <v>50046</v>
      </c>
      <c r="U33" s="4">
        <f t="shared" si="11"/>
        <v>50411</v>
      </c>
      <c r="V33" s="4">
        <f t="shared" si="11"/>
        <v>50776</v>
      </c>
      <c r="W33" s="4">
        <f t="shared" si="11"/>
        <v>51141</v>
      </c>
      <c r="X33" s="4">
        <f t="shared" si="11"/>
        <v>51507</v>
      </c>
    </row>
    <row r="34" spans="1:24" x14ac:dyDescent="0.3">
      <c r="A34" s="2">
        <f>WEEKDAY(A33)</f>
        <v>7</v>
      </c>
      <c r="B34" s="2">
        <f t="shared" ref="B34:X34" si="12">WEEKDAY(B33)</f>
        <v>1</v>
      </c>
      <c r="C34" s="2">
        <f t="shared" si="12"/>
        <v>2</v>
      </c>
      <c r="D34" s="2">
        <f t="shared" si="12"/>
        <v>4</v>
      </c>
      <c r="E34" s="2">
        <f t="shared" si="12"/>
        <v>5</v>
      </c>
      <c r="F34" s="2">
        <f t="shared" si="12"/>
        <v>6</v>
      </c>
      <c r="G34" s="2">
        <f t="shared" si="12"/>
        <v>7</v>
      </c>
      <c r="H34" s="2">
        <f t="shared" si="12"/>
        <v>2</v>
      </c>
      <c r="I34" s="2">
        <f t="shared" si="12"/>
        <v>3</v>
      </c>
      <c r="J34" s="2">
        <f t="shared" si="12"/>
        <v>4</v>
      </c>
      <c r="K34" s="2">
        <f t="shared" si="12"/>
        <v>5</v>
      </c>
      <c r="L34" s="2">
        <f t="shared" si="12"/>
        <v>7</v>
      </c>
      <c r="M34" s="2">
        <f t="shared" si="12"/>
        <v>1</v>
      </c>
      <c r="N34" s="2">
        <f t="shared" si="12"/>
        <v>2</v>
      </c>
      <c r="O34" s="2">
        <f t="shared" si="12"/>
        <v>3</v>
      </c>
      <c r="P34" s="2">
        <f t="shared" si="12"/>
        <v>5</v>
      </c>
      <c r="Q34" s="2">
        <f t="shared" si="12"/>
        <v>6</v>
      </c>
      <c r="R34" s="2">
        <f t="shared" si="12"/>
        <v>7</v>
      </c>
      <c r="S34" s="2">
        <f t="shared" si="12"/>
        <v>1</v>
      </c>
      <c r="T34" s="2">
        <f t="shared" si="12"/>
        <v>3</v>
      </c>
      <c r="U34" s="2">
        <f t="shared" si="12"/>
        <v>4</v>
      </c>
      <c r="V34" s="2">
        <f t="shared" si="12"/>
        <v>5</v>
      </c>
      <c r="W34" s="2">
        <f t="shared" si="12"/>
        <v>6</v>
      </c>
      <c r="X34" s="2">
        <f t="shared" si="12"/>
        <v>1</v>
      </c>
    </row>
    <row r="36" spans="1:24" s="5" customFormat="1" x14ac:dyDescent="0.3">
      <c r="A36" s="5" t="s">
        <v>17</v>
      </c>
      <c r="C36" s="5" t="s">
        <v>34</v>
      </c>
      <c r="E36" s="5" t="s">
        <v>35</v>
      </c>
    </row>
    <row r="38" spans="1:24" x14ac:dyDescent="0.3">
      <c r="A38" s="4">
        <f>DATE(A3+1,MONTH(A33),DAY(A33)+(7-A34+1))</f>
        <v>43107</v>
      </c>
      <c r="B38" s="4">
        <f t="shared" ref="B38:X38" si="13">DATE(B3+1,MONTH(B33),DAY(B33)+(7-B34+1))</f>
        <v>43478</v>
      </c>
      <c r="C38" s="4">
        <f t="shared" si="13"/>
        <v>43842</v>
      </c>
      <c r="D38" s="4">
        <f t="shared" si="13"/>
        <v>44206</v>
      </c>
      <c r="E38" s="4">
        <f t="shared" si="13"/>
        <v>44570</v>
      </c>
      <c r="F38" s="4">
        <f t="shared" si="13"/>
        <v>44934</v>
      </c>
      <c r="G38" s="4">
        <f t="shared" si="13"/>
        <v>45298</v>
      </c>
      <c r="H38" s="4">
        <f t="shared" si="13"/>
        <v>45669</v>
      </c>
      <c r="I38" s="4">
        <f t="shared" si="13"/>
        <v>46033</v>
      </c>
      <c r="J38" s="4">
        <f t="shared" si="13"/>
        <v>46397</v>
      </c>
      <c r="K38" s="4">
        <f t="shared" si="13"/>
        <v>46761</v>
      </c>
      <c r="L38" s="4">
        <f t="shared" si="13"/>
        <v>47125</v>
      </c>
      <c r="M38" s="4">
        <f t="shared" si="13"/>
        <v>47496</v>
      </c>
      <c r="N38" s="4">
        <f t="shared" si="13"/>
        <v>47860</v>
      </c>
      <c r="O38" s="4">
        <f t="shared" si="13"/>
        <v>48224</v>
      </c>
      <c r="P38" s="4">
        <f t="shared" si="13"/>
        <v>48588</v>
      </c>
      <c r="Q38" s="4">
        <f t="shared" si="13"/>
        <v>48952</v>
      </c>
      <c r="R38" s="4">
        <f t="shared" si="13"/>
        <v>49316</v>
      </c>
      <c r="S38" s="4">
        <f t="shared" si="13"/>
        <v>49687</v>
      </c>
      <c r="T38" s="4">
        <f t="shared" si="13"/>
        <v>50051</v>
      </c>
      <c r="U38" s="4">
        <f t="shared" si="13"/>
        <v>50415</v>
      </c>
      <c r="V38" s="4">
        <f t="shared" si="13"/>
        <v>50779</v>
      </c>
      <c r="W38" s="4">
        <f t="shared" si="13"/>
        <v>51143</v>
      </c>
      <c r="X38" s="4">
        <f t="shared" si="13"/>
        <v>51514</v>
      </c>
    </row>
    <row r="39" spans="1:24" x14ac:dyDescent="0.3">
      <c r="A39" s="2">
        <f>WEEKDAY(A38)</f>
        <v>1</v>
      </c>
      <c r="B39" s="2">
        <f t="shared" ref="B39:X39" si="14">WEEKDAY(B38)</f>
        <v>1</v>
      </c>
      <c r="C39" s="2">
        <f t="shared" si="14"/>
        <v>1</v>
      </c>
      <c r="D39" s="2">
        <f t="shared" si="14"/>
        <v>1</v>
      </c>
      <c r="E39" s="2">
        <f t="shared" si="14"/>
        <v>1</v>
      </c>
      <c r="F39" s="2">
        <f t="shared" si="14"/>
        <v>1</v>
      </c>
      <c r="G39" s="2">
        <f t="shared" si="14"/>
        <v>1</v>
      </c>
      <c r="H39" s="2">
        <f t="shared" si="14"/>
        <v>1</v>
      </c>
      <c r="I39" s="2">
        <f t="shared" si="14"/>
        <v>1</v>
      </c>
      <c r="J39" s="2">
        <f t="shared" si="14"/>
        <v>1</v>
      </c>
      <c r="K39" s="2">
        <f t="shared" si="14"/>
        <v>1</v>
      </c>
      <c r="L39" s="2">
        <f t="shared" si="14"/>
        <v>1</v>
      </c>
      <c r="M39" s="2">
        <f t="shared" si="14"/>
        <v>1</v>
      </c>
      <c r="N39" s="2">
        <f t="shared" si="14"/>
        <v>1</v>
      </c>
      <c r="O39" s="2">
        <f t="shared" si="14"/>
        <v>1</v>
      </c>
      <c r="P39" s="2">
        <f t="shared" si="14"/>
        <v>1</v>
      </c>
      <c r="Q39" s="2">
        <f t="shared" si="14"/>
        <v>1</v>
      </c>
      <c r="R39" s="2">
        <f t="shared" si="14"/>
        <v>1</v>
      </c>
      <c r="S39" s="2">
        <f t="shared" si="14"/>
        <v>1</v>
      </c>
      <c r="T39" s="2">
        <f t="shared" si="14"/>
        <v>1</v>
      </c>
      <c r="U39" s="2">
        <f t="shared" si="14"/>
        <v>1</v>
      </c>
      <c r="V39" s="2">
        <f t="shared" si="14"/>
        <v>1</v>
      </c>
      <c r="W39" s="2">
        <f t="shared" si="14"/>
        <v>1</v>
      </c>
      <c r="X39" s="2">
        <f t="shared" si="14"/>
        <v>1</v>
      </c>
    </row>
    <row r="41" spans="1:24" s="5" customFormat="1" x14ac:dyDescent="0.3">
      <c r="A41" s="5" t="s">
        <v>15</v>
      </c>
      <c r="C41" s="5" t="s">
        <v>37</v>
      </c>
      <c r="E41" s="5" t="s">
        <v>38</v>
      </c>
      <c r="G41" s="6" t="s">
        <v>39</v>
      </c>
    </row>
    <row r="43" spans="1:24" x14ac:dyDescent="0.3">
      <c r="A43" s="2" t="str">
        <f>TEXT(DATE(A3+1,1,1+(7-A29+1)),"M/d/yyyy")</f>
        <v>1/7/2018</v>
      </c>
      <c r="B43" s="2" t="str">
        <f t="shared" ref="B43:X43" si="15">TEXT(DATE(B3+1,1,1+(7-B29+1)),"M/d/yyyy")</f>
        <v>1/6/2019</v>
      </c>
      <c r="C43" s="2" t="str">
        <f t="shared" si="15"/>
        <v>1/5/2020</v>
      </c>
      <c r="D43" s="2" t="str">
        <f t="shared" si="15"/>
        <v>1/3/2021</v>
      </c>
      <c r="E43" s="2" t="str">
        <f t="shared" si="15"/>
        <v>1/2/2022</v>
      </c>
      <c r="F43" s="2" t="str">
        <f t="shared" si="15"/>
        <v>1/8/2023</v>
      </c>
      <c r="G43" s="2" t="str">
        <f t="shared" si="15"/>
        <v>1/7/2024</v>
      </c>
      <c r="H43" s="2" t="str">
        <f t="shared" si="15"/>
        <v>1/5/2025</v>
      </c>
      <c r="I43" s="2" t="str">
        <f t="shared" si="15"/>
        <v>1/4/2026</v>
      </c>
      <c r="J43" s="2" t="str">
        <f t="shared" si="15"/>
        <v>1/3/2027</v>
      </c>
      <c r="K43" s="2" t="str">
        <f t="shared" si="15"/>
        <v>1/2/2028</v>
      </c>
      <c r="L43" s="2" t="str">
        <f t="shared" si="15"/>
        <v>1/7/2029</v>
      </c>
      <c r="M43" s="2" t="str">
        <f t="shared" si="15"/>
        <v>1/6/2030</v>
      </c>
      <c r="N43" s="2" t="str">
        <f t="shared" si="15"/>
        <v>1/5/2031</v>
      </c>
      <c r="O43" s="2" t="str">
        <f t="shared" si="15"/>
        <v>1/4/2032</v>
      </c>
      <c r="P43" s="2" t="str">
        <f t="shared" si="15"/>
        <v>1/2/2033</v>
      </c>
      <c r="Q43" s="2" t="str">
        <f t="shared" si="15"/>
        <v>1/8/2034</v>
      </c>
      <c r="R43" s="2" t="str">
        <f t="shared" si="15"/>
        <v>1/7/2035</v>
      </c>
      <c r="S43" s="2" t="str">
        <f t="shared" si="15"/>
        <v>1/6/2036</v>
      </c>
      <c r="T43" s="2" t="str">
        <f t="shared" si="15"/>
        <v>1/4/2037</v>
      </c>
      <c r="U43" s="2" t="str">
        <f t="shared" si="15"/>
        <v>1/3/2038</v>
      </c>
      <c r="V43" s="2" t="str">
        <f t="shared" si="15"/>
        <v>1/2/2039</v>
      </c>
      <c r="W43" s="2" t="str">
        <f t="shared" si="15"/>
        <v>1/8/2040</v>
      </c>
      <c r="X43" s="2" t="str">
        <f t="shared" si="15"/>
        <v>1/6/2041</v>
      </c>
    </row>
    <row r="44" spans="1:24" x14ac:dyDescent="0.3">
      <c r="A44" s="2">
        <f t="shared" ref="A44:V44" si="16">WEEKDAY(A43)</f>
        <v>1</v>
      </c>
      <c r="B44" s="2">
        <f t="shared" si="16"/>
        <v>1</v>
      </c>
      <c r="C44" s="2">
        <f t="shared" si="16"/>
        <v>1</v>
      </c>
      <c r="D44" s="2">
        <f t="shared" si="16"/>
        <v>1</v>
      </c>
      <c r="E44" s="2">
        <f t="shared" si="16"/>
        <v>1</v>
      </c>
      <c r="F44" s="2">
        <f t="shared" si="16"/>
        <v>1</v>
      </c>
      <c r="G44" s="2">
        <f t="shared" si="16"/>
        <v>1</v>
      </c>
      <c r="H44" s="2">
        <f t="shared" si="16"/>
        <v>1</v>
      </c>
      <c r="I44" s="2">
        <f t="shared" si="16"/>
        <v>1</v>
      </c>
      <c r="J44" s="2">
        <f t="shared" si="16"/>
        <v>1</v>
      </c>
      <c r="K44" s="2">
        <f t="shared" si="16"/>
        <v>1</v>
      </c>
      <c r="L44" s="2">
        <f t="shared" si="16"/>
        <v>1</v>
      </c>
      <c r="M44" s="2">
        <f t="shared" si="16"/>
        <v>1</v>
      </c>
      <c r="N44" s="2">
        <f t="shared" si="16"/>
        <v>1</v>
      </c>
      <c r="O44" s="2">
        <f t="shared" si="16"/>
        <v>1</v>
      </c>
      <c r="P44" s="2">
        <f t="shared" si="16"/>
        <v>1</v>
      </c>
      <c r="Q44" s="2">
        <f t="shared" si="16"/>
        <v>1</v>
      </c>
      <c r="R44" s="2">
        <f t="shared" si="16"/>
        <v>1</v>
      </c>
      <c r="S44" s="2">
        <f t="shared" si="16"/>
        <v>1</v>
      </c>
      <c r="T44" s="2">
        <f t="shared" si="16"/>
        <v>1</v>
      </c>
      <c r="U44" s="2">
        <f t="shared" si="16"/>
        <v>1</v>
      </c>
      <c r="V44" s="2">
        <f t="shared" si="16"/>
        <v>1</v>
      </c>
      <c r="W44" s="2">
        <f t="shared" ref="W44" si="17">WEEKDAY(W43)</f>
        <v>1</v>
      </c>
      <c r="X44" s="2">
        <f t="shared" ref="X44" si="18">WEEKDAY(X43)</f>
        <v>1</v>
      </c>
    </row>
    <row r="46" spans="1:24" s="5" customFormat="1" x14ac:dyDescent="0.3">
      <c r="A46" s="5" t="s">
        <v>17</v>
      </c>
      <c r="C46" s="5" t="s">
        <v>40</v>
      </c>
      <c r="E46" s="5" t="s">
        <v>41</v>
      </c>
    </row>
    <row r="48" spans="1:24" x14ac:dyDescent="0.3">
      <c r="A48" s="2" t="str">
        <f>TEXT(IF(OR(DAY(A43)=7, DAY(A43)=8), DATE(A3+1, MONTH(A43), DAY(A43)+1), DATE(A3+1, MONTH(A43), DAY(A43)+(7-A44+1))), "M/d/yyyy")</f>
        <v>1/8/2018</v>
      </c>
      <c r="B48" s="2" t="str">
        <f t="shared" ref="B48:X48" si="19">TEXT(IF(OR(DAY(B43)=7, DAY(B43)=8), DATE(B3+1, MONTH(B43), DAY(B43)+1), DATE(B3+1, MONTH(B43), DAY(B43)+(7-B44+1))), "M/d/yyyy")</f>
        <v>1/13/2019</v>
      </c>
      <c r="C48" s="2" t="str">
        <f t="shared" si="19"/>
        <v>1/12/2020</v>
      </c>
      <c r="D48" s="2" t="str">
        <f t="shared" si="19"/>
        <v>1/10/2021</v>
      </c>
      <c r="E48" s="2" t="str">
        <f t="shared" si="19"/>
        <v>1/9/2022</v>
      </c>
      <c r="F48" s="2" t="str">
        <f t="shared" si="19"/>
        <v>1/9/2023</v>
      </c>
      <c r="G48" s="2" t="str">
        <f t="shared" si="19"/>
        <v>1/8/2024</v>
      </c>
      <c r="H48" s="2" t="str">
        <f t="shared" si="19"/>
        <v>1/12/2025</v>
      </c>
      <c r="I48" s="2" t="str">
        <f t="shared" si="19"/>
        <v>1/11/2026</v>
      </c>
      <c r="J48" s="2" t="str">
        <f t="shared" si="19"/>
        <v>1/10/2027</v>
      </c>
      <c r="K48" s="2" t="str">
        <f t="shared" si="19"/>
        <v>1/9/2028</v>
      </c>
      <c r="L48" s="2" t="str">
        <f t="shared" si="19"/>
        <v>1/8/2029</v>
      </c>
      <c r="M48" s="2" t="str">
        <f t="shared" si="19"/>
        <v>1/13/2030</v>
      </c>
      <c r="N48" s="2" t="str">
        <f t="shared" si="19"/>
        <v>1/12/2031</v>
      </c>
      <c r="O48" s="2" t="str">
        <f t="shared" si="19"/>
        <v>1/11/2032</v>
      </c>
      <c r="P48" s="2" t="str">
        <f t="shared" si="19"/>
        <v>1/9/2033</v>
      </c>
      <c r="Q48" s="2" t="str">
        <f t="shared" si="19"/>
        <v>1/9/2034</v>
      </c>
      <c r="R48" s="2" t="str">
        <f t="shared" si="19"/>
        <v>1/8/2035</v>
      </c>
      <c r="S48" s="2" t="str">
        <f t="shared" si="19"/>
        <v>1/13/2036</v>
      </c>
      <c r="T48" s="2" t="str">
        <f t="shared" si="19"/>
        <v>1/11/2037</v>
      </c>
      <c r="U48" s="2" t="str">
        <f t="shared" si="19"/>
        <v>1/10/2038</v>
      </c>
      <c r="V48" s="2" t="str">
        <f t="shared" si="19"/>
        <v>1/9/2039</v>
      </c>
      <c r="W48" s="2" t="str">
        <f t="shared" si="19"/>
        <v>1/9/2040</v>
      </c>
      <c r="X48" s="2" t="str">
        <f t="shared" si="19"/>
        <v>1/13/2041</v>
      </c>
    </row>
    <row r="49" spans="1:24" x14ac:dyDescent="0.3">
      <c r="A49" s="2">
        <f t="shared" ref="A49" si="20">WEEKDAY(A48)</f>
        <v>2</v>
      </c>
      <c r="B49" s="2">
        <f t="shared" ref="B49" si="21">WEEKDAY(B48)</f>
        <v>1</v>
      </c>
      <c r="C49" s="2">
        <f t="shared" ref="C49" si="22">WEEKDAY(C48)</f>
        <v>1</v>
      </c>
      <c r="D49" s="2">
        <f t="shared" ref="D49" si="23">WEEKDAY(D48)</f>
        <v>1</v>
      </c>
      <c r="E49" s="2">
        <f t="shared" ref="E49" si="24">WEEKDAY(E48)</f>
        <v>1</v>
      </c>
      <c r="F49" s="2">
        <f t="shared" ref="F49" si="25">WEEKDAY(F48)</f>
        <v>2</v>
      </c>
      <c r="G49" s="2">
        <f t="shared" ref="G49" si="26">WEEKDAY(G48)</f>
        <v>2</v>
      </c>
      <c r="H49" s="2">
        <f t="shared" ref="H49" si="27">WEEKDAY(H48)</f>
        <v>1</v>
      </c>
      <c r="I49" s="2">
        <f t="shared" ref="I49" si="28">WEEKDAY(I48)</f>
        <v>1</v>
      </c>
      <c r="J49" s="2">
        <f t="shared" ref="J49" si="29">WEEKDAY(J48)</f>
        <v>1</v>
      </c>
      <c r="K49" s="2">
        <f t="shared" ref="K49" si="30">WEEKDAY(K48)</f>
        <v>1</v>
      </c>
      <c r="L49" s="2">
        <f t="shared" ref="L49" si="31">WEEKDAY(L48)</f>
        <v>2</v>
      </c>
      <c r="M49" s="2">
        <f t="shared" ref="M49" si="32">WEEKDAY(M48)</f>
        <v>1</v>
      </c>
      <c r="N49" s="2">
        <f t="shared" ref="N49" si="33">WEEKDAY(N48)</f>
        <v>1</v>
      </c>
      <c r="O49" s="2">
        <f t="shared" ref="O49" si="34">WEEKDAY(O48)</f>
        <v>1</v>
      </c>
      <c r="P49" s="2">
        <f t="shared" ref="P49" si="35">WEEKDAY(P48)</f>
        <v>1</v>
      </c>
      <c r="Q49" s="2">
        <f t="shared" ref="Q49" si="36">WEEKDAY(Q48)</f>
        <v>2</v>
      </c>
      <c r="R49" s="2">
        <f t="shared" ref="R49" si="37">WEEKDAY(R48)</f>
        <v>2</v>
      </c>
      <c r="S49" s="2">
        <f t="shared" ref="S49" si="38">WEEKDAY(S48)</f>
        <v>1</v>
      </c>
      <c r="T49" s="2">
        <f t="shared" ref="T49" si="39">WEEKDAY(T48)</f>
        <v>1</v>
      </c>
      <c r="U49" s="2">
        <f t="shared" ref="U49" si="40">WEEKDAY(U48)</f>
        <v>1</v>
      </c>
      <c r="V49" s="2">
        <f t="shared" ref="V49" si="41">WEEKDAY(V48)</f>
        <v>1</v>
      </c>
      <c r="W49" s="2">
        <f t="shared" ref="W49" si="42">WEEKDAY(W48)</f>
        <v>2</v>
      </c>
      <c r="X49" s="2">
        <f t="shared" ref="X49" si="43">WEEKDAY(X48)</f>
        <v>1</v>
      </c>
    </row>
    <row r="51" spans="1:24" s="7" customFormat="1" x14ac:dyDescent="0.3">
      <c r="A51" s="7" t="s">
        <v>42</v>
      </c>
    </row>
    <row r="53" spans="1:24" x14ac:dyDescent="0.3">
      <c r="A53" s="2">
        <f>A3</f>
        <v>2017</v>
      </c>
      <c r="B53" s="2">
        <f t="shared" ref="B53:X53" si="44">B3</f>
        <v>2018</v>
      </c>
      <c r="C53" s="2">
        <f t="shared" si="44"/>
        <v>2019</v>
      </c>
      <c r="D53" s="2">
        <f t="shared" si="44"/>
        <v>2020</v>
      </c>
      <c r="E53" s="2">
        <f t="shared" si="44"/>
        <v>2021</v>
      </c>
      <c r="F53" s="2">
        <f t="shared" si="44"/>
        <v>2022</v>
      </c>
      <c r="G53" s="2">
        <f t="shared" si="44"/>
        <v>2023</v>
      </c>
      <c r="H53" s="2">
        <f t="shared" si="44"/>
        <v>2024</v>
      </c>
      <c r="I53" s="2">
        <f t="shared" si="44"/>
        <v>2025</v>
      </c>
      <c r="J53" s="2">
        <f t="shared" si="44"/>
        <v>2026</v>
      </c>
      <c r="K53" s="2">
        <f t="shared" si="44"/>
        <v>2027</v>
      </c>
      <c r="L53" s="2">
        <f t="shared" si="44"/>
        <v>2028</v>
      </c>
      <c r="M53" s="2">
        <f t="shared" si="44"/>
        <v>2029</v>
      </c>
      <c r="N53" s="2">
        <f t="shared" si="44"/>
        <v>2030</v>
      </c>
      <c r="O53" s="2">
        <f t="shared" si="44"/>
        <v>2031</v>
      </c>
      <c r="P53" s="2">
        <f t="shared" si="44"/>
        <v>2032</v>
      </c>
      <c r="Q53" s="2">
        <f t="shared" si="44"/>
        <v>2033</v>
      </c>
      <c r="R53" s="2">
        <f t="shared" si="44"/>
        <v>2034</v>
      </c>
      <c r="S53" s="2">
        <f t="shared" si="44"/>
        <v>2035</v>
      </c>
      <c r="T53" s="2">
        <f t="shared" si="44"/>
        <v>2036</v>
      </c>
      <c r="U53" s="2">
        <f t="shared" si="44"/>
        <v>2037</v>
      </c>
      <c r="V53" s="2">
        <f t="shared" si="44"/>
        <v>2038</v>
      </c>
      <c r="W53" s="2">
        <f t="shared" si="44"/>
        <v>2039</v>
      </c>
      <c r="X53" s="2">
        <f t="shared" si="44"/>
        <v>2040</v>
      </c>
    </row>
    <row r="54" spans="1:24" x14ac:dyDescent="0.3">
      <c r="A54" s="3" t="str">
        <f>IF(OR(MOD(A53,400)=0,AND(MOD(A53,4)=0,MOD(A53,100)&lt;&gt;0)),"윤년", "평년")</f>
        <v>평년</v>
      </c>
      <c r="B54" s="3" t="str">
        <f t="shared" ref="B54:X54" si="45">IF(OR(MOD(B53,400)=0,AND(MOD(B53,4)=0,MOD(B53,100)&lt;&gt;0)),"윤년", "평년")</f>
        <v>평년</v>
      </c>
      <c r="C54" s="3" t="str">
        <f t="shared" si="45"/>
        <v>평년</v>
      </c>
      <c r="D54" s="3" t="str">
        <f t="shared" si="45"/>
        <v>윤년</v>
      </c>
      <c r="E54" s="3" t="str">
        <f t="shared" si="45"/>
        <v>평년</v>
      </c>
      <c r="F54" s="3" t="str">
        <f t="shared" si="45"/>
        <v>평년</v>
      </c>
      <c r="G54" s="3" t="str">
        <f t="shared" si="45"/>
        <v>평년</v>
      </c>
      <c r="H54" s="3" t="str">
        <f t="shared" si="45"/>
        <v>윤년</v>
      </c>
      <c r="I54" s="3" t="str">
        <f t="shared" si="45"/>
        <v>평년</v>
      </c>
      <c r="J54" s="3" t="str">
        <f t="shared" si="45"/>
        <v>평년</v>
      </c>
      <c r="K54" s="3" t="str">
        <f t="shared" si="45"/>
        <v>평년</v>
      </c>
      <c r="L54" s="3" t="str">
        <f t="shared" si="45"/>
        <v>윤년</v>
      </c>
      <c r="M54" s="3" t="str">
        <f t="shared" si="45"/>
        <v>평년</v>
      </c>
      <c r="N54" s="3" t="str">
        <f t="shared" si="45"/>
        <v>평년</v>
      </c>
      <c r="O54" s="3" t="str">
        <f t="shared" si="45"/>
        <v>평년</v>
      </c>
      <c r="P54" s="3" t="str">
        <f t="shared" si="45"/>
        <v>윤년</v>
      </c>
      <c r="Q54" s="3" t="str">
        <f t="shared" si="45"/>
        <v>평년</v>
      </c>
      <c r="R54" s="3" t="str">
        <f t="shared" si="45"/>
        <v>평년</v>
      </c>
      <c r="S54" s="3" t="str">
        <f t="shared" si="45"/>
        <v>평년</v>
      </c>
      <c r="T54" s="3" t="str">
        <f t="shared" si="45"/>
        <v>윤년</v>
      </c>
      <c r="U54" s="3" t="str">
        <f t="shared" si="45"/>
        <v>평년</v>
      </c>
      <c r="V54" s="3" t="str">
        <f t="shared" si="45"/>
        <v>평년</v>
      </c>
      <c r="W54" s="3" t="str">
        <f t="shared" si="45"/>
        <v>평년</v>
      </c>
      <c r="X54" s="3" t="str">
        <f t="shared" si="45"/>
        <v>윤년</v>
      </c>
    </row>
    <row r="56" spans="1:24" s="5" customFormat="1" x14ac:dyDescent="0.3">
      <c r="A56" s="5" t="s">
        <v>43</v>
      </c>
      <c r="B56" s="5" t="s">
        <v>44</v>
      </c>
      <c r="E56" s="5" t="s">
        <v>45</v>
      </c>
    </row>
    <row r="57" spans="1:24" x14ac:dyDescent="0.3">
      <c r="A57" s="8"/>
    </row>
    <row r="58" spans="1:24" x14ac:dyDescent="0.3">
      <c r="A58" s="9"/>
      <c r="B58" s="4">
        <f>DATE(B53,MONTH(A33),DAY(A33)+(7-A34+1))</f>
        <v>43107</v>
      </c>
      <c r="C58" s="4">
        <f t="shared" ref="C58:X58" si="46">DATE(C53,MONTH(B33),DAY(B33)+(7-B34+1))</f>
        <v>43478</v>
      </c>
      <c r="D58" s="4">
        <f t="shared" si="46"/>
        <v>43842</v>
      </c>
      <c r="E58" s="4">
        <f t="shared" si="46"/>
        <v>44206</v>
      </c>
      <c r="F58" s="4">
        <f t="shared" si="46"/>
        <v>44570</v>
      </c>
      <c r="G58" s="4">
        <f t="shared" si="46"/>
        <v>44934</v>
      </c>
      <c r="H58" s="4">
        <f t="shared" si="46"/>
        <v>45298</v>
      </c>
      <c r="I58" s="4">
        <f t="shared" si="46"/>
        <v>45669</v>
      </c>
      <c r="J58" s="4">
        <f t="shared" si="46"/>
        <v>46033</v>
      </c>
      <c r="K58" s="4">
        <f t="shared" si="46"/>
        <v>46397</v>
      </c>
      <c r="L58" s="4">
        <f t="shared" si="46"/>
        <v>46761</v>
      </c>
      <c r="M58" s="4">
        <f t="shared" si="46"/>
        <v>47125</v>
      </c>
      <c r="N58" s="4">
        <f t="shared" si="46"/>
        <v>47496</v>
      </c>
      <c r="O58" s="4">
        <f t="shared" si="46"/>
        <v>47860</v>
      </c>
      <c r="P58" s="4">
        <f t="shared" si="46"/>
        <v>48224</v>
      </c>
      <c r="Q58" s="4">
        <f t="shared" si="46"/>
        <v>48588</v>
      </c>
      <c r="R58" s="4">
        <f t="shared" si="46"/>
        <v>48952</v>
      </c>
      <c r="S58" s="4">
        <f t="shared" si="46"/>
        <v>49316</v>
      </c>
      <c r="T58" s="4">
        <f t="shared" si="46"/>
        <v>49687</v>
      </c>
      <c r="U58" s="4">
        <f t="shared" si="46"/>
        <v>50051</v>
      </c>
      <c r="V58" s="4">
        <f t="shared" si="46"/>
        <v>50415</v>
      </c>
      <c r="W58" s="4">
        <f t="shared" si="46"/>
        <v>50779</v>
      </c>
      <c r="X58" s="4">
        <f t="shared" si="46"/>
        <v>51143</v>
      </c>
    </row>
    <row r="59" spans="1:24" x14ac:dyDescent="0.3">
      <c r="A59" s="8"/>
      <c r="B59" s="2">
        <f t="shared" ref="B59" si="47">WEEKDAY(B58)</f>
        <v>1</v>
      </c>
      <c r="C59" s="2">
        <f t="shared" ref="C59" si="48">WEEKDAY(C58)</f>
        <v>1</v>
      </c>
      <c r="D59" s="2">
        <f t="shared" ref="D59" si="49">WEEKDAY(D58)</f>
        <v>1</v>
      </c>
      <c r="E59" s="2">
        <f t="shared" ref="E59" si="50">WEEKDAY(E58)</f>
        <v>1</v>
      </c>
      <c r="F59" s="2">
        <f t="shared" ref="F59" si="51">WEEKDAY(F58)</f>
        <v>1</v>
      </c>
      <c r="G59" s="2">
        <f t="shared" ref="G59" si="52">WEEKDAY(G58)</f>
        <v>1</v>
      </c>
      <c r="H59" s="2">
        <f t="shared" ref="H59" si="53">WEEKDAY(H58)</f>
        <v>1</v>
      </c>
      <c r="I59" s="2">
        <f t="shared" ref="I59" si="54">WEEKDAY(I58)</f>
        <v>1</v>
      </c>
      <c r="J59" s="2">
        <f t="shared" ref="J59" si="55">WEEKDAY(J58)</f>
        <v>1</v>
      </c>
      <c r="K59" s="2">
        <f t="shared" ref="K59" si="56">WEEKDAY(K58)</f>
        <v>1</v>
      </c>
      <c r="L59" s="2">
        <f t="shared" ref="L59" si="57">WEEKDAY(L58)</f>
        <v>1</v>
      </c>
      <c r="M59" s="2">
        <f t="shared" ref="M59" si="58">WEEKDAY(M58)</f>
        <v>1</v>
      </c>
      <c r="N59" s="2">
        <f t="shared" ref="N59" si="59">WEEKDAY(N58)</f>
        <v>1</v>
      </c>
      <c r="O59" s="2">
        <f t="shared" ref="O59" si="60">WEEKDAY(O58)</f>
        <v>1</v>
      </c>
      <c r="P59" s="2">
        <f t="shared" ref="P59" si="61">WEEKDAY(P58)</f>
        <v>1</v>
      </c>
      <c r="Q59" s="2">
        <f t="shared" ref="Q59" si="62">WEEKDAY(Q58)</f>
        <v>1</v>
      </c>
      <c r="R59" s="2">
        <f t="shared" ref="R59" si="63">WEEKDAY(R58)</f>
        <v>1</v>
      </c>
      <c r="S59" s="2">
        <f t="shared" ref="S59" si="64">WEEKDAY(S58)</f>
        <v>1</v>
      </c>
      <c r="T59" s="2">
        <f t="shared" ref="T59" si="65">WEEKDAY(T58)</f>
        <v>1</v>
      </c>
      <c r="U59" s="2">
        <f t="shared" ref="U59" si="66">WEEKDAY(U58)</f>
        <v>1</v>
      </c>
      <c r="V59" s="2">
        <f t="shared" ref="V59" si="67">WEEKDAY(V58)</f>
        <v>1</v>
      </c>
      <c r="W59" s="2">
        <f t="shared" ref="W59" si="68">WEEKDAY(W58)</f>
        <v>1</v>
      </c>
      <c r="X59" s="2">
        <f t="shared" ref="X59" si="69">WEEKDAY(X58)</f>
        <v>1</v>
      </c>
    </row>
    <row r="60" spans="1:24" x14ac:dyDescent="0.3">
      <c r="A60" s="8"/>
    </row>
    <row r="61" spans="1:24" s="5" customFormat="1" x14ac:dyDescent="0.3">
      <c r="A61" s="5" t="s">
        <v>46</v>
      </c>
      <c r="C61" s="5" t="s">
        <v>48</v>
      </c>
      <c r="E61" s="6" t="s">
        <v>67</v>
      </c>
    </row>
    <row r="62" spans="1:24" x14ac:dyDescent="0.3">
      <c r="A62" s="8"/>
    </row>
    <row r="63" spans="1:24" x14ac:dyDescent="0.3">
      <c r="A63" s="8"/>
      <c r="B63" s="4">
        <f>DATE(B53,MONTH(B69),DAY(B69)-3)</f>
        <v>43142</v>
      </c>
      <c r="C63" s="4">
        <f t="shared" ref="C63:X63" si="70">DATE(C53,MONTH(C69),DAY(C69)-3)</f>
        <v>43527</v>
      </c>
      <c r="D63" s="4">
        <f t="shared" si="70"/>
        <v>43884</v>
      </c>
      <c r="E63" s="4">
        <f t="shared" si="70"/>
        <v>44241</v>
      </c>
      <c r="F63" s="4">
        <f t="shared" si="70"/>
        <v>44619</v>
      </c>
      <c r="G63" s="4">
        <f t="shared" si="70"/>
        <v>44976</v>
      </c>
      <c r="H63" s="4">
        <f t="shared" si="70"/>
        <v>45333</v>
      </c>
      <c r="I63" s="4">
        <f t="shared" si="70"/>
        <v>45718</v>
      </c>
      <c r="J63" s="4">
        <f t="shared" si="70"/>
        <v>46068</v>
      </c>
      <c r="K63" s="4">
        <f t="shared" si="70"/>
        <v>46425</v>
      </c>
      <c r="L63" s="4">
        <f t="shared" si="70"/>
        <v>46810</v>
      </c>
      <c r="M63" s="4">
        <f t="shared" si="70"/>
        <v>47160</v>
      </c>
      <c r="N63" s="4">
        <f t="shared" si="70"/>
        <v>47545</v>
      </c>
      <c r="O63" s="4">
        <f t="shared" si="70"/>
        <v>47902</v>
      </c>
      <c r="P63" s="4">
        <f t="shared" si="70"/>
        <v>48252</v>
      </c>
      <c r="Q63" s="4">
        <f t="shared" si="70"/>
        <v>48637</v>
      </c>
      <c r="R63" s="4">
        <f t="shared" si="70"/>
        <v>48994</v>
      </c>
      <c r="S63" s="4">
        <f t="shared" si="70"/>
        <v>49344</v>
      </c>
      <c r="T63" s="4">
        <f t="shared" si="70"/>
        <v>49729</v>
      </c>
      <c r="U63" s="4">
        <f t="shared" si="70"/>
        <v>50086</v>
      </c>
      <c r="V63" s="4">
        <f t="shared" si="70"/>
        <v>50471</v>
      </c>
      <c r="W63" s="4">
        <f t="shared" si="70"/>
        <v>50821</v>
      </c>
      <c r="X63" s="4">
        <f t="shared" si="70"/>
        <v>51178</v>
      </c>
    </row>
    <row r="64" spans="1:24" x14ac:dyDescent="0.3">
      <c r="A64" s="8" t="s">
        <v>66</v>
      </c>
      <c r="B64" s="2">
        <f t="shared" ref="B64" si="71">WEEKDAY(B63)</f>
        <v>1</v>
      </c>
      <c r="C64" s="2">
        <f t="shared" ref="C64" si="72">WEEKDAY(C63)</f>
        <v>1</v>
      </c>
      <c r="D64" s="2">
        <f t="shared" ref="D64" si="73">WEEKDAY(D63)</f>
        <v>1</v>
      </c>
      <c r="E64" s="2">
        <f t="shared" ref="E64" si="74">WEEKDAY(E63)</f>
        <v>1</v>
      </c>
      <c r="F64" s="2">
        <f t="shared" ref="F64" si="75">WEEKDAY(F63)</f>
        <v>1</v>
      </c>
      <c r="G64" s="2">
        <f t="shared" ref="G64" si="76">WEEKDAY(G63)</f>
        <v>1</v>
      </c>
      <c r="H64" s="2">
        <f t="shared" ref="H64" si="77">WEEKDAY(H63)</f>
        <v>1</v>
      </c>
      <c r="I64" s="2">
        <f t="shared" ref="I64" si="78">WEEKDAY(I63)</f>
        <v>1</v>
      </c>
      <c r="J64" s="2">
        <f t="shared" ref="J64" si="79">WEEKDAY(J63)</f>
        <v>1</v>
      </c>
      <c r="K64" s="2">
        <f t="shared" ref="K64" si="80">WEEKDAY(K63)</f>
        <v>1</v>
      </c>
      <c r="L64" s="2">
        <f t="shared" ref="L64" si="81">WEEKDAY(L63)</f>
        <v>1</v>
      </c>
      <c r="M64" s="2">
        <f t="shared" ref="M64" si="82">WEEKDAY(M63)</f>
        <v>1</v>
      </c>
      <c r="N64" s="2">
        <f t="shared" ref="N64" si="83">WEEKDAY(N63)</f>
        <v>1</v>
      </c>
      <c r="O64" s="2">
        <f t="shared" ref="O64" si="84">WEEKDAY(O63)</f>
        <v>1</v>
      </c>
      <c r="P64" s="2">
        <f t="shared" ref="P64" si="85">WEEKDAY(P63)</f>
        <v>1</v>
      </c>
      <c r="Q64" s="2">
        <f t="shared" ref="Q64" si="86">WEEKDAY(Q63)</f>
        <v>1</v>
      </c>
      <c r="R64" s="2">
        <f t="shared" ref="R64" si="87">WEEKDAY(R63)</f>
        <v>1</v>
      </c>
      <c r="S64" s="2">
        <f t="shared" ref="S64" si="88">WEEKDAY(S63)</f>
        <v>1</v>
      </c>
      <c r="T64" s="2">
        <f t="shared" ref="T64" si="89">WEEKDAY(T63)</f>
        <v>1</v>
      </c>
      <c r="U64" s="2">
        <f t="shared" ref="U64" si="90">WEEKDAY(U63)</f>
        <v>1</v>
      </c>
      <c r="V64" s="2">
        <f t="shared" ref="V64" si="91">WEEKDAY(V63)</f>
        <v>1</v>
      </c>
      <c r="W64" s="2">
        <f t="shared" ref="W64" si="92">WEEKDAY(W63)</f>
        <v>1</v>
      </c>
      <c r="X64" s="2">
        <f t="shared" ref="X64" si="93">WEEKDAY(X63)</f>
        <v>1</v>
      </c>
    </row>
    <row r="65" spans="1:24" x14ac:dyDescent="0.3">
      <c r="A65" s="8" t="s">
        <v>65</v>
      </c>
      <c r="B65" s="2">
        <f>WEEKNUM(B63)-WEEKNUM(B58)+1</f>
        <v>6</v>
      </c>
      <c r="C65" s="2">
        <f t="shared" ref="C65:X65" si="94">WEEKNUM(C63)-WEEKNUM(C58)+1</f>
        <v>8</v>
      </c>
      <c r="D65" s="2">
        <f t="shared" si="94"/>
        <v>7</v>
      </c>
      <c r="E65" s="2">
        <f t="shared" si="94"/>
        <v>6</v>
      </c>
      <c r="F65" s="2">
        <f t="shared" si="94"/>
        <v>8</v>
      </c>
      <c r="G65" s="2">
        <f t="shared" si="94"/>
        <v>7</v>
      </c>
      <c r="H65" s="2">
        <f t="shared" si="94"/>
        <v>6</v>
      </c>
      <c r="I65" s="2">
        <f t="shared" si="94"/>
        <v>8</v>
      </c>
      <c r="J65" s="2">
        <f t="shared" si="94"/>
        <v>6</v>
      </c>
      <c r="K65" s="2">
        <f t="shared" si="94"/>
        <v>5</v>
      </c>
      <c r="L65" s="2">
        <f t="shared" si="94"/>
        <v>8</v>
      </c>
      <c r="M65" s="2">
        <f t="shared" si="94"/>
        <v>6</v>
      </c>
      <c r="N65" s="2">
        <f t="shared" si="94"/>
        <v>8</v>
      </c>
      <c r="O65" s="2">
        <f t="shared" si="94"/>
        <v>7</v>
      </c>
      <c r="P65" s="2">
        <f t="shared" si="94"/>
        <v>5</v>
      </c>
      <c r="Q65" s="2">
        <f t="shared" si="94"/>
        <v>8</v>
      </c>
      <c r="R65" s="2">
        <f t="shared" si="94"/>
        <v>7</v>
      </c>
      <c r="S65" s="2">
        <f t="shared" si="94"/>
        <v>5</v>
      </c>
      <c r="T65" s="2">
        <f t="shared" si="94"/>
        <v>7</v>
      </c>
      <c r="U65" s="2">
        <f t="shared" si="94"/>
        <v>6</v>
      </c>
      <c r="V65" s="2">
        <f t="shared" si="94"/>
        <v>9</v>
      </c>
      <c r="W65" s="2">
        <f t="shared" si="94"/>
        <v>7</v>
      </c>
      <c r="X65" s="2">
        <f t="shared" si="94"/>
        <v>6</v>
      </c>
    </row>
    <row r="66" spans="1:24" x14ac:dyDescent="0.3">
      <c r="A66" s="8"/>
    </row>
    <row r="67" spans="1:24" s="11" customFormat="1" x14ac:dyDescent="0.3">
      <c r="A67" s="11" t="s">
        <v>47</v>
      </c>
      <c r="B67" s="11" t="s">
        <v>64</v>
      </c>
    </row>
    <row r="68" spans="1:24" x14ac:dyDescent="0.3">
      <c r="A68" s="8"/>
    </row>
    <row r="69" spans="1:24" x14ac:dyDescent="0.3">
      <c r="A69" s="8"/>
      <c r="B69" s="4">
        <f>DATE(B53,MONTH(B88), DAY(B88)-46)</f>
        <v>43145</v>
      </c>
      <c r="C69" s="4">
        <f t="shared" ref="C69:X69" si="95">DATE(C53,MONTH(C88), DAY(C88)-46)</f>
        <v>43530</v>
      </c>
      <c r="D69" s="4">
        <f t="shared" si="95"/>
        <v>43887</v>
      </c>
      <c r="E69" s="4">
        <f t="shared" si="95"/>
        <v>44244</v>
      </c>
      <c r="F69" s="4">
        <f t="shared" si="95"/>
        <v>44622</v>
      </c>
      <c r="G69" s="4">
        <f t="shared" si="95"/>
        <v>44979</v>
      </c>
      <c r="H69" s="4">
        <f t="shared" si="95"/>
        <v>45336</v>
      </c>
      <c r="I69" s="4">
        <f t="shared" si="95"/>
        <v>45721</v>
      </c>
      <c r="J69" s="4">
        <f t="shared" si="95"/>
        <v>46071</v>
      </c>
      <c r="K69" s="4">
        <f t="shared" si="95"/>
        <v>46428</v>
      </c>
      <c r="L69" s="4">
        <f t="shared" si="95"/>
        <v>46813</v>
      </c>
      <c r="M69" s="4">
        <f t="shared" si="95"/>
        <v>47163</v>
      </c>
      <c r="N69" s="4">
        <f t="shared" si="95"/>
        <v>47548</v>
      </c>
      <c r="O69" s="4">
        <f t="shared" si="95"/>
        <v>47905</v>
      </c>
      <c r="P69" s="4">
        <f t="shared" si="95"/>
        <v>48255</v>
      </c>
      <c r="Q69" s="4">
        <f t="shared" si="95"/>
        <v>48640</v>
      </c>
      <c r="R69" s="4">
        <f t="shared" si="95"/>
        <v>48997</v>
      </c>
      <c r="S69" s="4">
        <f t="shared" si="95"/>
        <v>49347</v>
      </c>
      <c r="T69" s="4">
        <f t="shared" si="95"/>
        <v>49732</v>
      </c>
      <c r="U69" s="4">
        <f t="shared" si="95"/>
        <v>50089</v>
      </c>
      <c r="V69" s="4">
        <f t="shared" si="95"/>
        <v>50474</v>
      </c>
      <c r="W69" s="4">
        <f t="shared" si="95"/>
        <v>50824</v>
      </c>
      <c r="X69" s="4">
        <f t="shared" si="95"/>
        <v>51181</v>
      </c>
    </row>
    <row r="70" spans="1:24" x14ac:dyDescent="0.3">
      <c r="A70" s="8" t="s">
        <v>66</v>
      </c>
      <c r="B70" s="2">
        <f t="shared" ref="B70" si="96">WEEKDAY(B69)</f>
        <v>4</v>
      </c>
      <c r="C70" s="2">
        <f t="shared" ref="C70" si="97">WEEKDAY(C69)</f>
        <v>4</v>
      </c>
      <c r="D70" s="2">
        <f t="shared" ref="D70" si="98">WEEKDAY(D69)</f>
        <v>4</v>
      </c>
      <c r="E70" s="2">
        <f t="shared" ref="E70" si="99">WEEKDAY(E69)</f>
        <v>4</v>
      </c>
      <c r="F70" s="2">
        <f t="shared" ref="F70" si="100">WEEKDAY(F69)</f>
        <v>4</v>
      </c>
      <c r="G70" s="2">
        <f t="shared" ref="G70" si="101">WEEKDAY(G69)</f>
        <v>4</v>
      </c>
      <c r="H70" s="2">
        <f t="shared" ref="H70" si="102">WEEKDAY(H69)</f>
        <v>4</v>
      </c>
      <c r="I70" s="2">
        <f t="shared" ref="I70" si="103">WEEKDAY(I69)</f>
        <v>4</v>
      </c>
      <c r="J70" s="2">
        <f t="shared" ref="J70" si="104">WEEKDAY(J69)</f>
        <v>4</v>
      </c>
      <c r="K70" s="2">
        <f t="shared" ref="K70" si="105">WEEKDAY(K69)</f>
        <v>4</v>
      </c>
      <c r="L70" s="2">
        <f t="shared" ref="L70" si="106">WEEKDAY(L69)</f>
        <v>4</v>
      </c>
      <c r="M70" s="2">
        <f t="shared" ref="M70" si="107">WEEKDAY(M69)</f>
        <v>4</v>
      </c>
      <c r="N70" s="2">
        <f t="shared" ref="N70" si="108">WEEKDAY(N69)</f>
        <v>4</v>
      </c>
      <c r="O70" s="2">
        <f t="shared" ref="O70" si="109">WEEKDAY(O69)</f>
        <v>4</v>
      </c>
      <c r="P70" s="2">
        <f t="shared" ref="P70" si="110">WEEKDAY(P69)</f>
        <v>4</v>
      </c>
      <c r="Q70" s="2">
        <f t="shared" ref="Q70" si="111">WEEKDAY(Q69)</f>
        <v>4</v>
      </c>
      <c r="R70" s="2">
        <f t="shared" ref="R70" si="112">WEEKDAY(R69)</f>
        <v>4</v>
      </c>
      <c r="S70" s="2">
        <f t="shared" ref="S70" si="113">WEEKDAY(S69)</f>
        <v>4</v>
      </c>
      <c r="T70" s="2">
        <f t="shared" ref="T70" si="114">WEEKDAY(T69)</f>
        <v>4</v>
      </c>
      <c r="U70" s="2">
        <f t="shared" ref="U70" si="115">WEEKDAY(U69)</f>
        <v>4</v>
      </c>
      <c r="V70" s="2">
        <f t="shared" ref="V70" si="116">WEEKDAY(V69)</f>
        <v>4</v>
      </c>
      <c r="W70" s="2">
        <f t="shared" ref="W70" si="117">WEEKDAY(W69)</f>
        <v>4</v>
      </c>
      <c r="X70" s="2">
        <f t="shared" ref="X70" si="118">WEEKDAY(X69)</f>
        <v>4</v>
      </c>
    </row>
    <row r="71" spans="1:24" x14ac:dyDescent="0.3">
      <c r="A71" s="8"/>
    </row>
    <row r="72" spans="1:24" s="5" customFormat="1" x14ac:dyDescent="0.3">
      <c r="A72" s="5" t="s">
        <v>49</v>
      </c>
      <c r="B72" s="5" t="s">
        <v>27</v>
      </c>
      <c r="C72" s="5" t="s">
        <v>50</v>
      </c>
    </row>
    <row r="73" spans="1:24" hidden="1" x14ac:dyDescent="0.3">
      <c r="A73" s="8"/>
    </row>
    <row r="74" spans="1:24" hidden="1" x14ac:dyDescent="0.3">
      <c r="A74" s="12" t="s">
        <v>51</v>
      </c>
      <c r="B74" s="10">
        <f t="shared" ref="B74:C74" si="119">MOD(B53,19)</f>
        <v>4</v>
      </c>
      <c r="C74" s="10">
        <f t="shared" si="119"/>
        <v>5</v>
      </c>
      <c r="D74" s="10">
        <f>MOD(D53,19)</f>
        <v>6</v>
      </c>
      <c r="E74" s="10">
        <f t="shared" ref="E74:X74" si="120">MOD(E53,19)</f>
        <v>7</v>
      </c>
      <c r="F74" s="10">
        <f t="shared" si="120"/>
        <v>8</v>
      </c>
      <c r="G74" s="10">
        <f t="shared" si="120"/>
        <v>9</v>
      </c>
      <c r="H74" s="10">
        <f t="shared" si="120"/>
        <v>10</v>
      </c>
      <c r="I74" s="10">
        <f t="shared" si="120"/>
        <v>11</v>
      </c>
      <c r="J74" s="10">
        <f t="shared" si="120"/>
        <v>12</v>
      </c>
      <c r="K74" s="10">
        <f t="shared" si="120"/>
        <v>13</v>
      </c>
      <c r="L74" s="10">
        <f t="shared" si="120"/>
        <v>14</v>
      </c>
      <c r="M74" s="10">
        <f t="shared" si="120"/>
        <v>15</v>
      </c>
      <c r="N74" s="10">
        <f t="shared" si="120"/>
        <v>16</v>
      </c>
      <c r="O74" s="10">
        <f t="shared" si="120"/>
        <v>17</v>
      </c>
      <c r="P74" s="10">
        <f t="shared" si="120"/>
        <v>18</v>
      </c>
      <c r="Q74" s="10">
        <f t="shared" si="120"/>
        <v>0</v>
      </c>
      <c r="R74" s="10">
        <f t="shared" si="120"/>
        <v>1</v>
      </c>
      <c r="S74" s="10">
        <f t="shared" si="120"/>
        <v>2</v>
      </c>
      <c r="T74" s="10">
        <f t="shared" si="120"/>
        <v>3</v>
      </c>
      <c r="U74" s="10">
        <f t="shared" si="120"/>
        <v>4</v>
      </c>
      <c r="V74" s="10">
        <f t="shared" si="120"/>
        <v>5</v>
      </c>
      <c r="W74" s="10">
        <f t="shared" si="120"/>
        <v>6</v>
      </c>
      <c r="X74" s="10">
        <f t="shared" si="120"/>
        <v>7</v>
      </c>
    </row>
    <row r="75" spans="1:24" hidden="1" x14ac:dyDescent="0.3">
      <c r="A75" s="12" t="s">
        <v>52</v>
      </c>
      <c r="B75" s="10">
        <f t="shared" ref="B75:C75" si="121">INT(B53/100)</f>
        <v>20</v>
      </c>
      <c r="C75" s="10">
        <f t="shared" si="121"/>
        <v>20</v>
      </c>
      <c r="D75" s="10">
        <f>INT(D53/100)</f>
        <v>20</v>
      </c>
      <c r="E75" s="10">
        <f t="shared" ref="E75:X75" si="122">INT(E53/100)</f>
        <v>20</v>
      </c>
      <c r="F75" s="10">
        <f t="shared" si="122"/>
        <v>20</v>
      </c>
      <c r="G75" s="10">
        <f t="shared" si="122"/>
        <v>20</v>
      </c>
      <c r="H75" s="10">
        <f t="shared" si="122"/>
        <v>20</v>
      </c>
      <c r="I75" s="10">
        <f t="shared" si="122"/>
        <v>20</v>
      </c>
      <c r="J75" s="10">
        <f t="shared" si="122"/>
        <v>20</v>
      </c>
      <c r="K75" s="10">
        <f t="shared" si="122"/>
        <v>20</v>
      </c>
      <c r="L75" s="10">
        <f t="shared" si="122"/>
        <v>20</v>
      </c>
      <c r="M75" s="10">
        <f t="shared" si="122"/>
        <v>20</v>
      </c>
      <c r="N75" s="10">
        <f t="shared" si="122"/>
        <v>20</v>
      </c>
      <c r="O75" s="10">
        <f t="shared" si="122"/>
        <v>20</v>
      </c>
      <c r="P75" s="10">
        <f t="shared" si="122"/>
        <v>20</v>
      </c>
      <c r="Q75" s="10">
        <f t="shared" si="122"/>
        <v>20</v>
      </c>
      <c r="R75" s="10">
        <f t="shared" si="122"/>
        <v>20</v>
      </c>
      <c r="S75" s="10">
        <f t="shared" si="122"/>
        <v>20</v>
      </c>
      <c r="T75" s="10">
        <f t="shared" si="122"/>
        <v>20</v>
      </c>
      <c r="U75" s="10">
        <f t="shared" si="122"/>
        <v>20</v>
      </c>
      <c r="V75" s="10">
        <f t="shared" si="122"/>
        <v>20</v>
      </c>
      <c r="W75" s="10">
        <f t="shared" si="122"/>
        <v>20</v>
      </c>
      <c r="X75" s="10">
        <f t="shared" si="122"/>
        <v>20</v>
      </c>
    </row>
    <row r="76" spans="1:24" hidden="1" x14ac:dyDescent="0.3">
      <c r="A76" s="12" t="s">
        <v>53</v>
      </c>
      <c r="B76" s="10">
        <f t="shared" ref="B76:C76" si="123">MOD(B53,100)</f>
        <v>18</v>
      </c>
      <c r="C76" s="10">
        <f t="shared" si="123"/>
        <v>19</v>
      </c>
      <c r="D76" s="10">
        <f>MOD(D53,100)</f>
        <v>20</v>
      </c>
      <c r="E76" s="10">
        <f t="shared" ref="E76:X76" si="124">MOD(E53,100)</f>
        <v>21</v>
      </c>
      <c r="F76" s="10">
        <f t="shared" si="124"/>
        <v>22</v>
      </c>
      <c r="G76" s="10">
        <f t="shared" si="124"/>
        <v>23</v>
      </c>
      <c r="H76" s="10">
        <f t="shared" si="124"/>
        <v>24</v>
      </c>
      <c r="I76" s="10">
        <f t="shared" si="124"/>
        <v>25</v>
      </c>
      <c r="J76" s="10">
        <f t="shared" si="124"/>
        <v>26</v>
      </c>
      <c r="K76" s="10">
        <f t="shared" si="124"/>
        <v>27</v>
      </c>
      <c r="L76" s="10">
        <f t="shared" si="124"/>
        <v>28</v>
      </c>
      <c r="M76" s="10">
        <f t="shared" si="124"/>
        <v>29</v>
      </c>
      <c r="N76" s="10">
        <f t="shared" si="124"/>
        <v>30</v>
      </c>
      <c r="O76" s="10">
        <f t="shared" si="124"/>
        <v>31</v>
      </c>
      <c r="P76" s="10">
        <f t="shared" si="124"/>
        <v>32</v>
      </c>
      <c r="Q76" s="10">
        <f t="shared" si="124"/>
        <v>33</v>
      </c>
      <c r="R76" s="10">
        <f t="shared" si="124"/>
        <v>34</v>
      </c>
      <c r="S76" s="10">
        <f t="shared" si="124"/>
        <v>35</v>
      </c>
      <c r="T76" s="10">
        <f t="shared" si="124"/>
        <v>36</v>
      </c>
      <c r="U76" s="10">
        <f t="shared" si="124"/>
        <v>37</v>
      </c>
      <c r="V76" s="10">
        <f t="shared" si="124"/>
        <v>38</v>
      </c>
      <c r="W76" s="10">
        <f t="shared" si="124"/>
        <v>39</v>
      </c>
      <c r="X76" s="10">
        <f t="shared" si="124"/>
        <v>40</v>
      </c>
    </row>
    <row r="77" spans="1:24" hidden="1" x14ac:dyDescent="0.3">
      <c r="A77" s="12" t="s">
        <v>54</v>
      </c>
      <c r="B77" s="10">
        <f t="shared" ref="B77:C77" si="125">INT(B75/4)</f>
        <v>5</v>
      </c>
      <c r="C77" s="10">
        <f t="shared" si="125"/>
        <v>5</v>
      </c>
      <c r="D77" s="10">
        <f>INT(D75/4)</f>
        <v>5</v>
      </c>
      <c r="E77" s="10">
        <f t="shared" ref="E77:X77" si="126">INT(E75/4)</f>
        <v>5</v>
      </c>
      <c r="F77" s="10">
        <f t="shared" si="126"/>
        <v>5</v>
      </c>
      <c r="G77" s="10">
        <f t="shared" si="126"/>
        <v>5</v>
      </c>
      <c r="H77" s="10">
        <f t="shared" si="126"/>
        <v>5</v>
      </c>
      <c r="I77" s="10">
        <f t="shared" si="126"/>
        <v>5</v>
      </c>
      <c r="J77" s="10">
        <f t="shared" si="126"/>
        <v>5</v>
      </c>
      <c r="K77" s="10">
        <f t="shared" si="126"/>
        <v>5</v>
      </c>
      <c r="L77" s="10">
        <f t="shared" si="126"/>
        <v>5</v>
      </c>
      <c r="M77" s="10">
        <f t="shared" si="126"/>
        <v>5</v>
      </c>
      <c r="N77" s="10">
        <f t="shared" si="126"/>
        <v>5</v>
      </c>
      <c r="O77" s="10">
        <f t="shared" si="126"/>
        <v>5</v>
      </c>
      <c r="P77" s="10">
        <f t="shared" si="126"/>
        <v>5</v>
      </c>
      <c r="Q77" s="10">
        <f t="shared" si="126"/>
        <v>5</v>
      </c>
      <c r="R77" s="10">
        <f t="shared" si="126"/>
        <v>5</v>
      </c>
      <c r="S77" s="10">
        <f t="shared" si="126"/>
        <v>5</v>
      </c>
      <c r="T77" s="10">
        <f t="shared" si="126"/>
        <v>5</v>
      </c>
      <c r="U77" s="10">
        <f t="shared" si="126"/>
        <v>5</v>
      </c>
      <c r="V77" s="10">
        <f t="shared" si="126"/>
        <v>5</v>
      </c>
      <c r="W77" s="10">
        <f t="shared" si="126"/>
        <v>5</v>
      </c>
      <c r="X77" s="10">
        <f t="shared" si="126"/>
        <v>5</v>
      </c>
    </row>
    <row r="78" spans="1:24" hidden="1" x14ac:dyDescent="0.3">
      <c r="A78" s="12" t="s">
        <v>55</v>
      </c>
      <c r="B78" s="10">
        <f t="shared" ref="B78:C78" si="127">MOD(B75,4)</f>
        <v>0</v>
      </c>
      <c r="C78" s="10">
        <f t="shared" si="127"/>
        <v>0</v>
      </c>
      <c r="D78" s="10">
        <f>MOD(D75,4)</f>
        <v>0</v>
      </c>
      <c r="E78" s="10">
        <f t="shared" ref="E78:X78" si="128">MOD(E75,4)</f>
        <v>0</v>
      </c>
      <c r="F78" s="10">
        <f t="shared" si="128"/>
        <v>0</v>
      </c>
      <c r="G78" s="10">
        <f t="shared" si="128"/>
        <v>0</v>
      </c>
      <c r="H78" s="10">
        <f t="shared" si="128"/>
        <v>0</v>
      </c>
      <c r="I78" s="10">
        <f t="shared" si="128"/>
        <v>0</v>
      </c>
      <c r="J78" s="10">
        <f t="shared" si="128"/>
        <v>0</v>
      </c>
      <c r="K78" s="10">
        <f t="shared" si="128"/>
        <v>0</v>
      </c>
      <c r="L78" s="10">
        <f t="shared" si="128"/>
        <v>0</v>
      </c>
      <c r="M78" s="10">
        <f t="shared" si="128"/>
        <v>0</v>
      </c>
      <c r="N78" s="10">
        <f t="shared" si="128"/>
        <v>0</v>
      </c>
      <c r="O78" s="10">
        <f t="shared" si="128"/>
        <v>0</v>
      </c>
      <c r="P78" s="10">
        <f t="shared" si="128"/>
        <v>0</v>
      </c>
      <c r="Q78" s="10">
        <f t="shared" si="128"/>
        <v>0</v>
      </c>
      <c r="R78" s="10">
        <f t="shared" si="128"/>
        <v>0</v>
      </c>
      <c r="S78" s="10">
        <f t="shared" si="128"/>
        <v>0</v>
      </c>
      <c r="T78" s="10">
        <f t="shared" si="128"/>
        <v>0</v>
      </c>
      <c r="U78" s="10">
        <f t="shared" si="128"/>
        <v>0</v>
      </c>
      <c r="V78" s="10">
        <f t="shared" si="128"/>
        <v>0</v>
      </c>
      <c r="W78" s="10">
        <f t="shared" si="128"/>
        <v>0</v>
      </c>
      <c r="X78" s="10">
        <f t="shared" si="128"/>
        <v>0</v>
      </c>
    </row>
    <row r="79" spans="1:24" hidden="1" x14ac:dyDescent="0.3">
      <c r="A79" s="12" t="s">
        <v>56</v>
      </c>
      <c r="B79" s="10">
        <f t="shared" ref="B79:C79" si="129">INT((8*B75+13)/25)</f>
        <v>6</v>
      </c>
      <c r="C79" s="10">
        <f t="shared" si="129"/>
        <v>6</v>
      </c>
      <c r="D79" s="10">
        <f>INT((8*D75+13)/25)</f>
        <v>6</v>
      </c>
      <c r="E79" s="10">
        <f t="shared" ref="E79:X79" si="130">INT((8*E75+13)/25)</f>
        <v>6</v>
      </c>
      <c r="F79" s="10">
        <f t="shared" si="130"/>
        <v>6</v>
      </c>
      <c r="G79" s="10">
        <f t="shared" si="130"/>
        <v>6</v>
      </c>
      <c r="H79" s="10">
        <f t="shared" si="130"/>
        <v>6</v>
      </c>
      <c r="I79" s="10">
        <f t="shared" si="130"/>
        <v>6</v>
      </c>
      <c r="J79" s="10">
        <f t="shared" si="130"/>
        <v>6</v>
      </c>
      <c r="K79" s="10">
        <f t="shared" si="130"/>
        <v>6</v>
      </c>
      <c r="L79" s="10">
        <f t="shared" si="130"/>
        <v>6</v>
      </c>
      <c r="M79" s="10">
        <f t="shared" si="130"/>
        <v>6</v>
      </c>
      <c r="N79" s="10">
        <f t="shared" si="130"/>
        <v>6</v>
      </c>
      <c r="O79" s="10">
        <f t="shared" si="130"/>
        <v>6</v>
      </c>
      <c r="P79" s="10">
        <f t="shared" si="130"/>
        <v>6</v>
      </c>
      <c r="Q79" s="10">
        <f t="shared" si="130"/>
        <v>6</v>
      </c>
      <c r="R79" s="10">
        <f t="shared" si="130"/>
        <v>6</v>
      </c>
      <c r="S79" s="10">
        <f t="shared" si="130"/>
        <v>6</v>
      </c>
      <c r="T79" s="10">
        <f t="shared" si="130"/>
        <v>6</v>
      </c>
      <c r="U79" s="10">
        <f t="shared" si="130"/>
        <v>6</v>
      </c>
      <c r="V79" s="10">
        <f t="shared" si="130"/>
        <v>6</v>
      </c>
      <c r="W79" s="10">
        <f t="shared" si="130"/>
        <v>6</v>
      </c>
      <c r="X79" s="10">
        <f t="shared" si="130"/>
        <v>6</v>
      </c>
    </row>
    <row r="80" spans="1:24" hidden="1" x14ac:dyDescent="0.3">
      <c r="A80" s="12" t="s">
        <v>57</v>
      </c>
      <c r="B80" s="10">
        <f t="shared" ref="B80:C80" si="131">MOD(19*B74+B75-B77-B79+15, 30)</f>
        <v>10</v>
      </c>
      <c r="C80" s="10">
        <f t="shared" si="131"/>
        <v>29</v>
      </c>
      <c r="D80" s="10">
        <f>MOD(19*D74+D75-D77-D79+15, 30)</f>
        <v>18</v>
      </c>
      <c r="E80" s="10">
        <f t="shared" ref="E80" si="132">MOD(19*E74+E75-E77-E79+15, 30)</f>
        <v>7</v>
      </c>
      <c r="F80" s="10">
        <f t="shared" ref="F80:G80" si="133">MOD(19*F74+F75-F77-F79+15, 30)</f>
        <v>26</v>
      </c>
      <c r="G80" s="10">
        <f t="shared" si="133"/>
        <v>15</v>
      </c>
      <c r="H80" s="10">
        <f t="shared" ref="H80" si="134">MOD(19*H74+H75-H77-H79+15, 30)</f>
        <v>4</v>
      </c>
      <c r="I80" s="10">
        <f t="shared" ref="I80:J80" si="135">MOD(19*I74+I75-I77-I79+15, 30)</f>
        <v>23</v>
      </c>
      <c r="J80" s="10">
        <f t="shared" si="135"/>
        <v>12</v>
      </c>
      <c r="K80" s="10">
        <f t="shared" ref="K80" si="136">MOD(19*K74+K75-K77-K79+15, 30)</f>
        <v>1</v>
      </c>
      <c r="L80" s="10">
        <f t="shared" ref="L80:M80" si="137">MOD(19*L74+L75-L77-L79+15, 30)</f>
        <v>20</v>
      </c>
      <c r="M80" s="10">
        <f t="shared" si="137"/>
        <v>9</v>
      </c>
      <c r="N80" s="10">
        <f t="shared" ref="N80" si="138">MOD(19*N74+N75-N77-N79+15, 30)</f>
        <v>28</v>
      </c>
      <c r="O80" s="10">
        <f t="shared" ref="O80:P80" si="139">MOD(19*O74+O75-O77-O79+15, 30)</f>
        <v>17</v>
      </c>
      <c r="P80" s="10">
        <f t="shared" si="139"/>
        <v>6</v>
      </c>
      <c r="Q80" s="10">
        <f t="shared" ref="Q80" si="140">MOD(19*Q74+Q75-Q77-Q79+15, 30)</f>
        <v>24</v>
      </c>
      <c r="R80" s="10">
        <f t="shared" ref="R80:S80" si="141">MOD(19*R74+R75-R77-R79+15, 30)</f>
        <v>13</v>
      </c>
      <c r="S80" s="10">
        <f t="shared" si="141"/>
        <v>2</v>
      </c>
      <c r="T80" s="10">
        <f t="shared" ref="T80" si="142">MOD(19*T74+T75-T77-T79+15, 30)</f>
        <v>21</v>
      </c>
      <c r="U80" s="10">
        <f t="shared" ref="U80:V80" si="143">MOD(19*U74+U75-U77-U79+15, 30)</f>
        <v>10</v>
      </c>
      <c r="V80" s="10">
        <f t="shared" si="143"/>
        <v>29</v>
      </c>
      <c r="W80" s="10">
        <f t="shared" ref="W80" si="144">MOD(19*W74+W75-W77-W79+15, 30)</f>
        <v>18</v>
      </c>
      <c r="X80" s="10">
        <f t="shared" ref="X80" si="145">MOD(19*X74+X75-X77-X79+15, 30)</f>
        <v>7</v>
      </c>
    </row>
    <row r="81" spans="1:24" hidden="1" x14ac:dyDescent="0.3">
      <c r="A81" s="12" t="s">
        <v>58</v>
      </c>
      <c r="B81" s="10">
        <f t="shared" ref="B81:C81" si="146">INT(B76/4)</f>
        <v>4</v>
      </c>
      <c r="C81" s="10">
        <f t="shared" si="146"/>
        <v>4</v>
      </c>
      <c r="D81" s="10">
        <f>INT(D76/4)</f>
        <v>5</v>
      </c>
      <c r="E81" s="10">
        <f t="shared" ref="E81:X81" si="147">INT(E76/4)</f>
        <v>5</v>
      </c>
      <c r="F81" s="10">
        <f t="shared" si="147"/>
        <v>5</v>
      </c>
      <c r="G81" s="10">
        <f t="shared" si="147"/>
        <v>5</v>
      </c>
      <c r="H81" s="10">
        <f t="shared" si="147"/>
        <v>6</v>
      </c>
      <c r="I81" s="10">
        <f t="shared" si="147"/>
        <v>6</v>
      </c>
      <c r="J81" s="10">
        <f t="shared" si="147"/>
        <v>6</v>
      </c>
      <c r="K81" s="10">
        <f t="shared" si="147"/>
        <v>6</v>
      </c>
      <c r="L81" s="10">
        <f t="shared" si="147"/>
        <v>7</v>
      </c>
      <c r="M81" s="10">
        <f t="shared" si="147"/>
        <v>7</v>
      </c>
      <c r="N81" s="10">
        <f t="shared" si="147"/>
        <v>7</v>
      </c>
      <c r="O81" s="10">
        <f t="shared" si="147"/>
        <v>7</v>
      </c>
      <c r="P81" s="10">
        <f t="shared" si="147"/>
        <v>8</v>
      </c>
      <c r="Q81" s="10">
        <f t="shared" si="147"/>
        <v>8</v>
      </c>
      <c r="R81" s="10">
        <f t="shared" si="147"/>
        <v>8</v>
      </c>
      <c r="S81" s="10">
        <f t="shared" si="147"/>
        <v>8</v>
      </c>
      <c r="T81" s="10">
        <f t="shared" si="147"/>
        <v>9</v>
      </c>
      <c r="U81" s="10">
        <f t="shared" si="147"/>
        <v>9</v>
      </c>
      <c r="V81" s="10">
        <f t="shared" si="147"/>
        <v>9</v>
      </c>
      <c r="W81" s="10">
        <f t="shared" si="147"/>
        <v>9</v>
      </c>
      <c r="X81" s="10">
        <f t="shared" si="147"/>
        <v>10</v>
      </c>
    </row>
    <row r="82" spans="1:24" hidden="1" x14ac:dyDescent="0.3">
      <c r="A82" s="12" t="s">
        <v>59</v>
      </c>
      <c r="B82" s="10">
        <f t="shared" ref="B82:C82" si="148">MOD(B76,4)</f>
        <v>2</v>
      </c>
      <c r="C82" s="10">
        <f t="shared" si="148"/>
        <v>3</v>
      </c>
      <c r="D82" s="10">
        <f>MOD(D76,4)</f>
        <v>0</v>
      </c>
      <c r="E82" s="10">
        <f t="shared" ref="E82:X82" si="149">MOD(E76,4)</f>
        <v>1</v>
      </c>
      <c r="F82" s="10">
        <f t="shared" si="149"/>
        <v>2</v>
      </c>
      <c r="G82" s="10">
        <f t="shared" si="149"/>
        <v>3</v>
      </c>
      <c r="H82" s="10">
        <f t="shared" si="149"/>
        <v>0</v>
      </c>
      <c r="I82" s="10">
        <f t="shared" si="149"/>
        <v>1</v>
      </c>
      <c r="J82" s="10">
        <f t="shared" si="149"/>
        <v>2</v>
      </c>
      <c r="K82" s="10">
        <f t="shared" si="149"/>
        <v>3</v>
      </c>
      <c r="L82" s="10">
        <f t="shared" si="149"/>
        <v>0</v>
      </c>
      <c r="M82" s="10">
        <f t="shared" si="149"/>
        <v>1</v>
      </c>
      <c r="N82" s="10">
        <f t="shared" si="149"/>
        <v>2</v>
      </c>
      <c r="O82" s="10">
        <f t="shared" si="149"/>
        <v>3</v>
      </c>
      <c r="P82" s="10">
        <f t="shared" si="149"/>
        <v>0</v>
      </c>
      <c r="Q82" s="10">
        <f t="shared" si="149"/>
        <v>1</v>
      </c>
      <c r="R82" s="10">
        <f t="shared" si="149"/>
        <v>2</v>
      </c>
      <c r="S82" s="10">
        <f t="shared" si="149"/>
        <v>3</v>
      </c>
      <c r="T82" s="10">
        <f t="shared" si="149"/>
        <v>0</v>
      </c>
      <c r="U82" s="10">
        <f t="shared" si="149"/>
        <v>1</v>
      </c>
      <c r="V82" s="10">
        <f t="shared" si="149"/>
        <v>2</v>
      </c>
      <c r="W82" s="10">
        <f t="shared" si="149"/>
        <v>3</v>
      </c>
      <c r="X82" s="10">
        <f t="shared" si="149"/>
        <v>0</v>
      </c>
    </row>
    <row r="83" spans="1:24" hidden="1" x14ac:dyDescent="0.3">
      <c r="A83" s="12" t="s">
        <v>60</v>
      </c>
      <c r="B83" s="10">
        <f t="shared" ref="B83:C83" si="150">MOD(32+2*B78+2*B81-B80-B82,7)</f>
        <v>0</v>
      </c>
      <c r="C83" s="10">
        <f t="shared" si="150"/>
        <v>1</v>
      </c>
      <c r="D83" s="10">
        <f>MOD(32+2*D78+2*D81-D80-D82,7)</f>
        <v>3</v>
      </c>
      <c r="E83" s="10">
        <f t="shared" ref="E83" si="151">MOD(32+2*E78+2*E81-E80-E82,7)</f>
        <v>6</v>
      </c>
      <c r="F83" s="10">
        <f t="shared" ref="F83:G83" si="152">MOD(32+2*F78+2*F81-F80-F82,7)</f>
        <v>0</v>
      </c>
      <c r="G83" s="10">
        <f t="shared" si="152"/>
        <v>3</v>
      </c>
      <c r="H83" s="10">
        <f t="shared" ref="H83" si="153">MOD(32+2*H78+2*H81-H80-H82,7)</f>
        <v>5</v>
      </c>
      <c r="I83" s="10">
        <f t="shared" ref="I83:J83" si="154">MOD(32+2*I78+2*I81-I80-I82,7)</f>
        <v>6</v>
      </c>
      <c r="J83" s="10">
        <f t="shared" si="154"/>
        <v>2</v>
      </c>
      <c r="K83" s="10">
        <f t="shared" ref="K83" si="155">MOD(32+2*K78+2*K81-K80-K82,7)</f>
        <v>5</v>
      </c>
      <c r="L83" s="10">
        <f t="shared" ref="L83:M83" si="156">MOD(32+2*L78+2*L81-L80-L82,7)</f>
        <v>5</v>
      </c>
      <c r="M83" s="10">
        <f t="shared" si="156"/>
        <v>1</v>
      </c>
      <c r="N83" s="10">
        <f t="shared" ref="N83" si="157">MOD(32+2*N78+2*N81-N80-N82,7)</f>
        <v>2</v>
      </c>
      <c r="O83" s="10">
        <f t="shared" ref="O83:P83" si="158">MOD(32+2*O78+2*O81-O80-O82,7)</f>
        <v>5</v>
      </c>
      <c r="P83" s="10">
        <f t="shared" si="158"/>
        <v>0</v>
      </c>
      <c r="Q83" s="10">
        <f t="shared" ref="Q83" si="159">MOD(32+2*Q78+2*Q81-Q80-Q82,7)</f>
        <v>2</v>
      </c>
      <c r="R83" s="10">
        <f t="shared" ref="R83:S83" si="160">MOD(32+2*R78+2*R81-R80-R82,7)</f>
        <v>5</v>
      </c>
      <c r="S83" s="10">
        <f t="shared" si="160"/>
        <v>1</v>
      </c>
      <c r="T83" s="10">
        <f t="shared" ref="T83" si="161">MOD(32+2*T78+2*T81-T80-T82,7)</f>
        <v>1</v>
      </c>
      <c r="U83" s="10">
        <f t="shared" ref="U83:V83" si="162">MOD(32+2*U78+2*U81-U80-U82,7)</f>
        <v>4</v>
      </c>
      <c r="V83" s="10">
        <f t="shared" si="162"/>
        <v>5</v>
      </c>
      <c r="W83" s="10">
        <f t="shared" ref="W83" si="163">MOD(32+2*W78+2*W81-W80-W82,7)</f>
        <v>1</v>
      </c>
      <c r="X83" s="10">
        <f t="shared" ref="X83" si="164">MOD(32+2*X78+2*X81-X80-X82,7)</f>
        <v>3</v>
      </c>
    </row>
    <row r="84" spans="1:24" hidden="1" x14ac:dyDescent="0.3">
      <c r="A84" s="12" t="s">
        <v>61</v>
      </c>
      <c r="B84" s="10">
        <f t="shared" ref="B84:C84" si="165">INT((B74+11*B80+19*B83)/433)</f>
        <v>0</v>
      </c>
      <c r="C84" s="10">
        <f t="shared" si="165"/>
        <v>0</v>
      </c>
      <c r="D84" s="10">
        <f>INT((D74+11*D80+19*D83)/433)</f>
        <v>0</v>
      </c>
      <c r="E84" s="10">
        <f t="shared" ref="E84" si="166">INT((E74+11*E80+19*E83)/433)</f>
        <v>0</v>
      </c>
      <c r="F84" s="10">
        <f t="shared" ref="F84:G84" si="167">INT((F74+11*F80+19*F83)/433)</f>
        <v>0</v>
      </c>
      <c r="G84" s="10">
        <f t="shared" si="167"/>
        <v>0</v>
      </c>
      <c r="H84" s="10">
        <f t="shared" ref="H84" si="168">INT((H74+11*H80+19*H83)/433)</f>
        <v>0</v>
      </c>
      <c r="I84" s="10">
        <f t="shared" ref="I84:J84" si="169">INT((I74+11*I80+19*I83)/433)</f>
        <v>0</v>
      </c>
      <c r="J84" s="10">
        <f t="shared" si="169"/>
        <v>0</v>
      </c>
      <c r="K84" s="10">
        <f t="shared" ref="K84" si="170">INT((K74+11*K80+19*K83)/433)</f>
        <v>0</v>
      </c>
      <c r="L84" s="10">
        <f t="shared" ref="L84:M84" si="171">INT((L74+11*L80+19*L83)/433)</f>
        <v>0</v>
      </c>
      <c r="M84" s="10">
        <f t="shared" si="171"/>
        <v>0</v>
      </c>
      <c r="N84" s="10">
        <f t="shared" ref="N84" si="172">INT((N74+11*N80+19*N83)/433)</f>
        <v>0</v>
      </c>
      <c r="O84" s="10">
        <f t="shared" ref="O84:P84" si="173">INT((O74+11*O80+19*O83)/433)</f>
        <v>0</v>
      </c>
      <c r="P84" s="10">
        <f t="shared" si="173"/>
        <v>0</v>
      </c>
      <c r="Q84" s="10">
        <f t="shared" ref="Q84" si="174">INT((Q74+11*Q80+19*Q83)/433)</f>
        <v>0</v>
      </c>
      <c r="R84" s="10">
        <f t="shared" ref="R84:S84" si="175">INT((R74+11*R80+19*R83)/433)</f>
        <v>0</v>
      </c>
      <c r="S84" s="10">
        <f t="shared" si="175"/>
        <v>0</v>
      </c>
      <c r="T84" s="10">
        <f t="shared" ref="T84" si="176">INT((T74+11*T80+19*T83)/433)</f>
        <v>0</v>
      </c>
      <c r="U84" s="10">
        <f t="shared" ref="U84:V84" si="177">INT((U74+11*U80+19*U83)/433)</f>
        <v>0</v>
      </c>
      <c r="V84" s="10">
        <f t="shared" si="177"/>
        <v>0</v>
      </c>
      <c r="W84" s="10">
        <f t="shared" ref="W84" si="178">INT((W74+11*W80+19*W83)/433)</f>
        <v>0</v>
      </c>
      <c r="X84" s="10">
        <f t="shared" ref="X84" si="179">INT((X74+11*X80+19*X83)/433)</f>
        <v>0</v>
      </c>
    </row>
    <row r="85" spans="1:24" hidden="1" x14ac:dyDescent="0.3">
      <c r="A85" s="12" t="s">
        <v>63</v>
      </c>
      <c r="B85" s="10">
        <f t="shared" ref="B85:C85" si="180">INT((B80+B83-7*B84+90)/25)</f>
        <v>4</v>
      </c>
      <c r="C85" s="10">
        <f t="shared" si="180"/>
        <v>4</v>
      </c>
      <c r="D85" s="10">
        <f>INT((D80+D83-7*D84+90)/25)</f>
        <v>4</v>
      </c>
      <c r="E85" s="10">
        <f t="shared" ref="E85" si="181">INT((E80+E83-7*E84+90)/25)</f>
        <v>4</v>
      </c>
      <c r="F85" s="10">
        <f t="shared" ref="F85:G85" si="182">INT((F80+F83-7*F84+90)/25)</f>
        <v>4</v>
      </c>
      <c r="G85" s="10">
        <f t="shared" si="182"/>
        <v>4</v>
      </c>
      <c r="H85" s="10">
        <f t="shared" ref="H85" si="183">INT((H80+H83-7*H84+90)/25)</f>
        <v>3</v>
      </c>
      <c r="I85" s="10">
        <f t="shared" ref="I85:J85" si="184">INT((I80+I83-7*I84+90)/25)</f>
        <v>4</v>
      </c>
      <c r="J85" s="10">
        <f t="shared" si="184"/>
        <v>4</v>
      </c>
      <c r="K85" s="10">
        <f t="shared" ref="K85" si="185">INT((K80+K83-7*K84+90)/25)</f>
        <v>3</v>
      </c>
      <c r="L85" s="10">
        <f t="shared" ref="L85:M85" si="186">INT((L80+L83-7*L84+90)/25)</f>
        <v>4</v>
      </c>
      <c r="M85" s="10">
        <f t="shared" si="186"/>
        <v>4</v>
      </c>
      <c r="N85" s="10">
        <f t="shared" ref="N85" si="187">INT((N80+N83-7*N84+90)/25)</f>
        <v>4</v>
      </c>
      <c r="O85" s="10">
        <f t="shared" ref="O85:P85" si="188">INT((O80+O83-7*O84+90)/25)</f>
        <v>4</v>
      </c>
      <c r="P85" s="10">
        <f t="shared" si="188"/>
        <v>3</v>
      </c>
      <c r="Q85" s="10">
        <f t="shared" ref="Q85" si="189">INT((Q80+Q83-7*Q84+90)/25)</f>
        <v>4</v>
      </c>
      <c r="R85" s="10">
        <f t="shared" ref="R85:S85" si="190">INT((R80+R83-7*R84+90)/25)</f>
        <v>4</v>
      </c>
      <c r="S85" s="10">
        <f t="shared" si="190"/>
        <v>3</v>
      </c>
      <c r="T85" s="10">
        <f t="shared" ref="T85" si="191">INT((T80+T83-7*T84+90)/25)</f>
        <v>4</v>
      </c>
      <c r="U85" s="10">
        <f t="shared" ref="U85:V85" si="192">INT((U80+U83-7*U84+90)/25)</f>
        <v>4</v>
      </c>
      <c r="V85" s="10">
        <f t="shared" si="192"/>
        <v>4</v>
      </c>
      <c r="W85" s="10">
        <f t="shared" ref="W85" si="193">INT((W80+W83-7*W84+90)/25)</f>
        <v>4</v>
      </c>
      <c r="X85" s="10">
        <f t="shared" ref="X85" si="194">INT((X80+X83-7*X84+90)/25)</f>
        <v>4</v>
      </c>
    </row>
    <row r="86" spans="1:24" hidden="1" x14ac:dyDescent="0.3">
      <c r="A86" s="12" t="s">
        <v>62</v>
      </c>
      <c r="B86" s="10">
        <f t="shared" ref="B86:C86" si="195">MOD(B80+B83-7*B84+33*B85+19,32)</f>
        <v>1</v>
      </c>
      <c r="C86" s="10">
        <f t="shared" si="195"/>
        <v>21</v>
      </c>
      <c r="D86" s="10">
        <f>MOD(D80+D83-7*D84+33*D85+19,32)</f>
        <v>12</v>
      </c>
      <c r="E86" s="10">
        <f t="shared" ref="E86" si="196">MOD(E80+E83-7*E84+33*E85+19,32)</f>
        <v>4</v>
      </c>
      <c r="F86" s="10">
        <f t="shared" ref="F86:G86" si="197">MOD(F80+F83-7*F84+33*F85+19,32)</f>
        <v>17</v>
      </c>
      <c r="G86" s="10">
        <f t="shared" si="197"/>
        <v>9</v>
      </c>
      <c r="H86" s="10">
        <f t="shared" ref="H86" si="198">MOD(H80+H83-7*H84+33*H85+19,32)</f>
        <v>31</v>
      </c>
      <c r="I86" s="10">
        <f t="shared" ref="I86:J86" si="199">MOD(I80+I83-7*I84+33*I85+19,32)</f>
        <v>20</v>
      </c>
      <c r="J86" s="10">
        <f t="shared" si="199"/>
        <v>5</v>
      </c>
      <c r="K86" s="10">
        <f t="shared" ref="K86" si="200">MOD(K80+K83-7*K84+33*K85+19,32)</f>
        <v>28</v>
      </c>
      <c r="L86" s="10">
        <f t="shared" ref="L86:M86" si="201">MOD(L80+L83-7*L84+33*L85+19,32)</f>
        <v>16</v>
      </c>
      <c r="M86" s="10">
        <f t="shared" si="201"/>
        <v>1</v>
      </c>
      <c r="N86" s="10">
        <f t="shared" ref="N86" si="202">MOD(N80+N83-7*N84+33*N85+19,32)</f>
        <v>21</v>
      </c>
      <c r="O86" s="10">
        <f t="shared" ref="O86:P86" si="203">MOD(O80+O83-7*O84+33*O85+19,32)</f>
        <v>13</v>
      </c>
      <c r="P86" s="10">
        <f t="shared" si="203"/>
        <v>28</v>
      </c>
      <c r="Q86" s="10">
        <f t="shared" ref="Q86" si="204">MOD(Q80+Q83-7*Q84+33*Q85+19,32)</f>
        <v>17</v>
      </c>
      <c r="R86" s="10">
        <f t="shared" ref="R86:S86" si="205">MOD(R80+R83-7*R84+33*R85+19,32)</f>
        <v>9</v>
      </c>
      <c r="S86" s="10">
        <f t="shared" si="205"/>
        <v>25</v>
      </c>
      <c r="T86" s="10">
        <f t="shared" ref="T86" si="206">MOD(T80+T83-7*T84+33*T85+19,32)</f>
        <v>13</v>
      </c>
      <c r="U86" s="10">
        <f t="shared" ref="U86:V86" si="207">MOD(U80+U83-7*U84+33*U85+19,32)</f>
        <v>5</v>
      </c>
      <c r="V86" s="10">
        <f t="shared" si="207"/>
        <v>25</v>
      </c>
      <c r="W86" s="10">
        <f t="shared" ref="W86" si="208">MOD(W80+W83-7*W84+33*W85+19,32)</f>
        <v>10</v>
      </c>
      <c r="X86" s="10">
        <f t="shared" ref="X86" si="209">MOD(X80+X83-7*X84+33*X85+19,32)</f>
        <v>1</v>
      </c>
    </row>
    <row r="87" spans="1:24" x14ac:dyDescent="0.3">
      <c r="A87" s="8"/>
    </row>
    <row r="88" spans="1:24" x14ac:dyDescent="0.3">
      <c r="A88" s="8"/>
      <c r="B88" s="4">
        <f t="shared" ref="B88:C88" si="210">DATE(B53,B85,B86)</f>
        <v>43191</v>
      </c>
      <c r="C88" s="4">
        <f t="shared" si="210"/>
        <v>43576</v>
      </c>
      <c r="D88" s="4">
        <f>DATE(D53,D85,D86)</f>
        <v>43933</v>
      </c>
      <c r="E88" s="4">
        <f t="shared" ref="E88:X88" si="211">DATE(E53,E85,E86)</f>
        <v>44290</v>
      </c>
      <c r="F88" s="4">
        <f t="shared" si="211"/>
        <v>44668</v>
      </c>
      <c r="G88" s="4">
        <f t="shared" si="211"/>
        <v>45025</v>
      </c>
      <c r="H88" s="4">
        <f t="shared" si="211"/>
        <v>45382</v>
      </c>
      <c r="I88" s="4">
        <f t="shared" si="211"/>
        <v>45767</v>
      </c>
      <c r="J88" s="4">
        <f t="shared" si="211"/>
        <v>46117</v>
      </c>
      <c r="K88" s="4">
        <f t="shared" si="211"/>
        <v>46474</v>
      </c>
      <c r="L88" s="4">
        <f t="shared" si="211"/>
        <v>46859</v>
      </c>
      <c r="M88" s="4">
        <f t="shared" si="211"/>
        <v>47209</v>
      </c>
      <c r="N88" s="4">
        <f t="shared" si="211"/>
        <v>47594</v>
      </c>
      <c r="O88" s="4">
        <f t="shared" si="211"/>
        <v>47951</v>
      </c>
      <c r="P88" s="4">
        <f t="shared" si="211"/>
        <v>48301</v>
      </c>
      <c r="Q88" s="4">
        <f t="shared" si="211"/>
        <v>48686</v>
      </c>
      <c r="R88" s="4">
        <f t="shared" si="211"/>
        <v>49043</v>
      </c>
      <c r="S88" s="4">
        <f t="shared" si="211"/>
        <v>49393</v>
      </c>
      <c r="T88" s="4">
        <f t="shared" si="211"/>
        <v>49778</v>
      </c>
      <c r="U88" s="4">
        <f t="shared" si="211"/>
        <v>50135</v>
      </c>
      <c r="V88" s="4">
        <f t="shared" si="211"/>
        <v>50520</v>
      </c>
      <c r="W88" s="4">
        <f t="shared" si="211"/>
        <v>50870</v>
      </c>
      <c r="X88" s="4">
        <f t="shared" si="211"/>
        <v>51227</v>
      </c>
    </row>
    <row r="89" spans="1:24" x14ac:dyDescent="0.3">
      <c r="A89" s="8"/>
      <c r="B89" s="2">
        <f t="shared" ref="B89" si="212">WEEKDAY(B88)</f>
        <v>1</v>
      </c>
      <c r="C89" s="2">
        <f t="shared" ref="C89" si="213">WEEKDAY(C88)</f>
        <v>1</v>
      </c>
      <c r="D89" s="2">
        <f t="shared" ref="D89" si="214">WEEKDAY(D88)</f>
        <v>1</v>
      </c>
      <c r="E89" s="2">
        <f t="shared" ref="E89" si="215">WEEKDAY(E88)</f>
        <v>1</v>
      </c>
      <c r="F89" s="2">
        <f t="shared" ref="F89" si="216">WEEKDAY(F88)</f>
        <v>1</v>
      </c>
      <c r="G89" s="2">
        <f t="shared" ref="G89" si="217">WEEKDAY(G88)</f>
        <v>1</v>
      </c>
      <c r="H89" s="2">
        <f t="shared" ref="H89" si="218">WEEKDAY(H88)</f>
        <v>1</v>
      </c>
      <c r="I89" s="2">
        <f t="shared" ref="I89" si="219">WEEKDAY(I88)</f>
        <v>1</v>
      </c>
      <c r="J89" s="2">
        <f t="shared" ref="J89" si="220">WEEKDAY(J88)</f>
        <v>1</v>
      </c>
      <c r="K89" s="2">
        <f t="shared" ref="K89" si="221">WEEKDAY(K88)</f>
        <v>1</v>
      </c>
      <c r="L89" s="2">
        <f t="shared" ref="L89" si="222">WEEKDAY(L88)</f>
        <v>1</v>
      </c>
      <c r="M89" s="2">
        <f t="shared" ref="M89" si="223">WEEKDAY(M88)</f>
        <v>1</v>
      </c>
      <c r="N89" s="2">
        <f t="shared" ref="N89" si="224">WEEKDAY(N88)</f>
        <v>1</v>
      </c>
      <c r="O89" s="2">
        <f t="shared" ref="O89" si="225">WEEKDAY(O88)</f>
        <v>1</v>
      </c>
      <c r="P89" s="2">
        <f t="shared" ref="P89" si="226">WEEKDAY(P88)</f>
        <v>1</v>
      </c>
      <c r="Q89" s="2">
        <f t="shared" ref="Q89" si="227">WEEKDAY(Q88)</f>
        <v>1</v>
      </c>
      <c r="R89" s="2">
        <f t="shared" ref="R89" si="228">WEEKDAY(R88)</f>
        <v>1</v>
      </c>
      <c r="S89" s="2">
        <f t="shared" ref="S89" si="229">WEEKDAY(S88)</f>
        <v>1</v>
      </c>
      <c r="T89" s="2">
        <f t="shared" ref="T89" si="230">WEEKDAY(T88)</f>
        <v>1</v>
      </c>
      <c r="U89" s="2">
        <f t="shared" ref="U89" si="231">WEEKDAY(U88)</f>
        <v>1</v>
      </c>
      <c r="V89" s="2">
        <f t="shared" ref="V89" si="232">WEEKDAY(V88)</f>
        <v>1</v>
      </c>
      <c r="W89" s="2">
        <f t="shared" ref="W89" si="233">WEEKDAY(W88)</f>
        <v>1</v>
      </c>
      <c r="X89" s="2">
        <f t="shared" ref="X89" si="234">WEEKDAY(X88)</f>
        <v>1</v>
      </c>
    </row>
    <row r="90" spans="1:24" x14ac:dyDescent="0.3">
      <c r="A90" s="8"/>
    </row>
    <row r="91" spans="1:24" s="5" customFormat="1" x14ac:dyDescent="0.3">
      <c r="A91" s="5" t="s">
        <v>68</v>
      </c>
      <c r="B91" s="5" t="s">
        <v>69</v>
      </c>
    </row>
    <row r="92" spans="1:24" x14ac:dyDescent="0.3">
      <c r="A92" s="8"/>
    </row>
    <row r="93" spans="1:24" x14ac:dyDescent="0.3">
      <c r="A93" s="8"/>
      <c r="B93" s="4">
        <f>DATE(B53, MONTH(B88), DAY(B88)+49)</f>
        <v>43240</v>
      </c>
      <c r="C93" s="4">
        <f t="shared" ref="C93:X93" si="235">DATE(C53, MONTH(C88), DAY(C88)+49)</f>
        <v>43625</v>
      </c>
      <c r="D93" s="4">
        <f t="shared" si="235"/>
        <v>43982</v>
      </c>
      <c r="E93" s="4">
        <f t="shared" si="235"/>
        <v>44339</v>
      </c>
      <c r="F93" s="4">
        <f t="shared" si="235"/>
        <v>44717</v>
      </c>
      <c r="G93" s="4">
        <f t="shared" si="235"/>
        <v>45074</v>
      </c>
      <c r="H93" s="4">
        <f t="shared" si="235"/>
        <v>45431</v>
      </c>
      <c r="I93" s="4">
        <f t="shared" si="235"/>
        <v>45816</v>
      </c>
      <c r="J93" s="4">
        <f t="shared" si="235"/>
        <v>46166</v>
      </c>
      <c r="K93" s="4">
        <f t="shared" si="235"/>
        <v>46523</v>
      </c>
      <c r="L93" s="4">
        <f t="shared" si="235"/>
        <v>46908</v>
      </c>
      <c r="M93" s="4">
        <f t="shared" si="235"/>
        <v>47258</v>
      </c>
      <c r="N93" s="4">
        <f t="shared" si="235"/>
        <v>47643</v>
      </c>
      <c r="O93" s="4">
        <f t="shared" si="235"/>
        <v>48000</v>
      </c>
      <c r="P93" s="4">
        <f t="shared" si="235"/>
        <v>48350</v>
      </c>
      <c r="Q93" s="4">
        <f t="shared" si="235"/>
        <v>48735</v>
      </c>
      <c r="R93" s="4">
        <f t="shared" si="235"/>
        <v>49092</v>
      </c>
      <c r="S93" s="4">
        <f t="shared" si="235"/>
        <v>49442</v>
      </c>
      <c r="T93" s="4">
        <f t="shared" si="235"/>
        <v>49827</v>
      </c>
      <c r="U93" s="4">
        <f t="shared" si="235"/>
        <v>50184</v>
      </c>
      <c r="V93" s="4">
        <f t="shared" si="235"/>
        <v>50569</v>
      </c>
      <c r="W93" s="4">
        <f t="shared" si="235"/>
        <v>50919</v>
      </c>
      <c r="X93" s="4">
        <f t="shared" si="235"/>
        <v>51276</v>
      </c>
    </row>
    <row r="94" spans="1:24" x14ac:dyDescent="0.3">
      <c r="A94" s="8"/>
      <c r="B94" s="2">
        <f t="shared" ref="B94" si="236">WEEKDAY(B93)</f>
        <v>1</v>
      </c>
      <c r="C94" s="2">
        <f t="shared" ref="C94" si="237">WEEKDAY(C93)</f>
        <v>1</v>
      </c>
      <c r="D94" s="2">
        <f t="shared" ref="D94" si="238">WEEKDAY(D93)</f>
        <v>1</v>
      </c>
      <c r="E94" s="2">
        <f t="shared" ref="E94" si="239">WEEKDAY(E93)</f>
        <v>1</v>
      </c>
      <c r="F94" s="2">
        <f t="shared" ref="F94" si="240">WEEKDAY(F93)</f>
        <v>1</v>
      </c>
      <c r="G94" s="2">
        <f t="shared" ref="G94" si="241">WEEKDAY(G93)</f>
        <v>1</v>
      </c>
      <c r="H94" s="2">
        <f t="shared" ref="H94" si="242">WEEKDAY(H93)</f>
        <v>1</v>
      </c>
      <c r="I94" s="2">
        <f t="shared" ref="I94" si="243">WEEKDAY(I93)</f>
        <v>1</v>
      </c>
      <c r="J94" s="2">
        <f t="shared" ref="J94" si="244">WEEKDAY(J93)</f>
        <v>1</v>
      </c>
      <c r="K94" s="2">
        <f t="shared" ref="K94" si="245">WEEKDAY(K93)</f>
        <v>1</v>
      </c>
      <c r="L94" s="2">
        <f t="shared" ref="L94" si="246">WEEKDAY(L93)</f>
        <v>1</v>
      </c>
      <c r="M94" s="2">
        <f t="shared" ref="M94" si="247">WEEKDAY(M93)</f>
        <v>1</v>
      </c>
      <c r="N94" s="2">
        <f t="shared" ref="N94" si="248">WEEKDAY(N93)</f>
        <v>1</v>
      </c>
      <c r="O94" s="2">
        <f t="shared" ref="O94" si="249">WEEKDAY(O93)</f>
        <v>1</v>
      </c>
      <c r="P94" s="2">
        <f t="shared" ref="P94" si="250">WEEKDAY(P93)</f>
        <v>1</v>
      </c>
      <c r="Q94" s="2">
        <f t="shared" ref="Q94" si="251">WEEKDAY(Q93)</f>
        <v>1</v>
      </c>
      <c r="R94" s="2">
        <f t="shared" ref="R94" si="252">WEEKDAY(R93)</f>
        <v>1</v>
      </c>
      <c r="S94" s="2">
        <f t="shared" ref="S94" si="253">WEEKDAY(S93)</f>
        <v>1</v>
      </c>
      <c r="T94" s="2">
        <f t="shared" ref="T94" si="254">WEEKDAY(T93)</f>
        <v>1</v>
      </c>
      <c r="U94" s="2">
        <f t="shared" ref="U94" si="255">WEEKDAY(U93)</f>
        <v>1</v>
      </c>
      <c r="V94" s="2">
        <f t="shared" ref="V94" si="256">WEEKDAY(V93)</f>
        <v>1</v>
      </c>
      <c r="W94" s="2">
        <f t="shared" ref="W94" si="257">WEEKDAY(W93)</f>
        <v>1</v>
      </c>
      <c r="X94" s="2">
        <f t="shared" ref="X94" si="258">WEEKDAY(X93)</f>
        <v>1</v>
      </c>
    </row>
    <row r="95" spans="1:24" x14ac:dyDescent="0.3">
      <c r="A95" s="8"/>
    </row>
    <row r="96" spans="1:24" s="5" customFormat="1" x14ac:dyDescent="0.3">
      <c r="A96" s="5" t="s">
        <v>70</v>
      </c>
      <c r="C96" s="5" t="s">
        <v>44</v>
      </c>
      <c r="F96" s="5" t="s">
        <v>74</v>
      </c>
    </row>
    <row r="97" spans="1:24" x14ac:dyDescent="0.3">
      <c r="A97" s="8"/>
    </row>
    <row r="98" spans="1:24" x14ac:dyDescent="0.3">
      <c r="A98" s="8"/>
      <c r="B98" s="2" t="str">
        <f>TEXT(B93, "M/d/yyyy")</f>
        <v>5/20/2018</v>
      </c>
      <c r="C98" s="2" t="str">
        <f t="shared" ref="C98:X98" si="259">TEXT(C93, "M/d/yyyy")</f>
        <v>6/9/2019</v>
      </c>
      <c r="D98" s="2" t="str">
        <f t="shared" si="259"/>
        <v>5/31/2020</v>
      </c>
      <c r="E98" s="2" t="str">
        <f t="shared" si="259"/>
        <v>5/23/2021</v>
      </c>
      <c r="F98" s="2" t="str">
        <f t="shared" si="259"/>
        <v>6/5/2022</v>
      </c>
      <c r="G98" s="2" t="str">
        <f t="shared" si="259"/>
        <v>5/28/2023</v>
      </c>
      <c r="H98" s="2" t="str">
        <f t="shared" si="259"/>
        <v>5/19/2024</v>
      </c>
      <c r="I98" s="2" t="str">
        <f t="shared" si="259"/>
        <v>6/8/2025</v>
      </c>
      <c r="J98" s="2" t="str">
        <f t="shared" si="259"/>
        <v>5/24/2026</v>
      </c>
      <c r="K98" s="2" t="str">
        <f t="shared" si="259"/>
        <v>5/16/2027</v>
      </c>
      <c r="L98" s="2" t="str">
        <f t="shared" si="259"/>
        <v>6/4/2028</v>
      </c>
      <c r="M98" s="2" t="str">
        <f t="shared" si="259"/>
        <v>5/20/2029</v>
      </c>
      <c r="N98" s="2" t="str">
        <f t="shared" si="259"/>
        <v>6/9/2030</v>
      </c>
      <c r="O98" s="2" t="str">
        <f t="shared" si="259"/>
        <v>6/1/2031</v>
      </c>
      <c r="P98" s="2" t="str">
        <f t="shared" si="259"/>
        <v>5/16/2032</v>
      </c>
      <c r="Q98" s="2" t="str">
        <f t="shared" si="259"/>
        <v>6/5/2033</v>
      </c>
      <c r="R98" s="2" t="str">
        <f t="shared" si="259"/>
        <v>5/28/2034</v>
      </c>
      <c r="S98" s="2" t="str">
        <f t="shared" si="259"/>
        <v>5/13/2035</v>
      </c>
      <c r="T98" s="2" t="str">
        <f t="shared" si="259"/>
        <v>6/1/2036</v>
      </c>
      <c r="U98" s="2" t="str">
        <f t="shared" si="259"/>
        <v>5/24/2037</v>
      </c>
      <c r="V98" s="2" t="str">
        <f t="shared" si="259"/>
        <v>6/13/2038</v>
      </c>
      <c r="W98" s="2" t="str">
        <f t="shared" si="259"/>
        <v>5/29/2039</v>
      </c>
      <c r="X98" s="2" t="str">
        <f t="shared" si="259"/>
        <v>5/20/2040</v>
      </c>
    </row>
    <row r="99" spans="1:24" x14ac:dyDescent="0.3">
      <c r="A99" s="8" t="s">
        <v>66</v>
      </c>
      <c r="B99" s="2">
        <f t="shared" ref="B99" si="260">WEEKDAY(B98)</f>
        <v>1</v>
      </c>
      <c r="C99" s="2">
        <f t="shared" ref="C99" si="261">WEEKDAY(C98)</f>
        <v>1</v>
      </c>
      <c r="D99" s="2">
        <f t="shared" ref="D99" si="262">WEEKDAY(D98)</f>
        <v>1</v>
      </c>
      <c r="E99" s="2">
        <f t="shared" ref="E99" si="263">WEEKDAY(E98)</f>
        <v>1</v>
      </c>
      <c r="F99" s="2">
        <f t="shared" ref="F99" si="264">WEEKDAY(F98)</f>
        <v>1</v>
      </c>
      <c r="G99" s="2">
        <f t="shared" ref="G99" si="265">WEEKDAY(G98)</f>
        <v>1</v>
      </c>
      <c r="H99" s="2">
        <f t="shared" ref="H99" si="266">WEEKDAY(H98)</f>
        <v>1</v>
      </c>
      <c r="I99" s="2">
        <f t="shared" ref="I99" si="267">WEEKDAY(I98)</f>
        <v>1</v>
      </c>
      <c r="J99" s="2">
        <f t="shared" ref="J99" si="268">WEEKDAY(J98)</f>
        <v>1</v>
      </c>
      <c r="K99" s="2">
        <f t="shared" ref="K99" si="269">WEEKDAY(K98)</f>
        <v>1</v>
      </c>
      <c r="L99" s="2">
        <f t="shared" ref="L99" si="270">WEEKDAY(L98)</f>
        <v>1</v>
      </c>
      <c r="M99" s="2">
        <f t="shared" ref="M99" si="271">WEEKDAY(M98)</f>
        <v>1</v>
      </c>
      <c r="N99" s="2">
        <f t="shared" ref="N99" si="272">WEEKDAY(N98)</f>
        <v>1</v>
      </c>
      <c r="O99" s="2">
        <f t="shared" ref="O99" si="273">WEEKDAY(O98)</f>
        <v>1</v>
      </c>
      <c r="P99" s="2">
        <f t="shared" ref="P99" si="274">WEEKDAY(P98)</f>
        <v>1</v>
      </c>
      <c r="Q99" s="2">
        <f t="shared" ref="Q99" si="275">WEEKDAY(Q98)</f>
        <v>1</v>
      </c>
      <c r="R99" s="2">
        <f t="shared" ref="R99" si="276">WEEKDAY(R98)</f>
        <v>1</v>
      </c>
      <c r="S99" s="2">
        <f t="shared" ref="S99" si="277">WEEKDAY(S98)</f>
        <v>1</v>
      </c>
      <c r="T99" s="2">
        <f t="shared" ref="T99" si="278">WEEKDAY(T98)</f>
        <v>1</v>
      </c>
      <c r="U99" s="2">
        <f t="shared" ref="U99" si="279">WEEKDAY(U98)</f>
        <v>1</v>
      </c>
      <c r="V99" s="2">
        <f t="shared" ref="V99" si="280">WEEKDAY(V98)</f>
        <v>1</v>
      </c>
      <c r="W99" s="2">
        <f t="shared" ref="W99" si="281">WEEKDAY(W98)</f>
        <v>1</v>
      </c>
      <c r="X99" s="2">
        <f t="shared" ref="X99" si="282">WEEKDAY(X98)</f>
        <v>1</v>
      </c>
    </row>
    <row r="100" spans="1:24" x14ac:dyDescent="0.3">
      <c r="A100" s="8" t="s">
        <v>65</v>
      </c>
      <c r="B100" s="2">
        <f>34-(WEEKNUM(B104)-WEEKNUM(B98)+1)+1</f>
        <v>7</v>
      </c>
      <c r="C100" s="2">
        <f t="shared" ref="C100:X100" si="283">34-(WEEKNUM(C104)-WEEKNUM(C98)+1)+1</f>
        <v>10</v>
      </c>
      <c r="D100" s="2">
        <f t="shared" si="283"/>
        <v>9</v>
      </c>
      <c r="E100" s="2">
        <f t="shared" si="283"/>
        <v>8</v>
      </c>
      <c r="F100" s="2">
        <f t="shared" si="283"/>
        <v>10</v>
      </c>
      <c r="G100" s="2">
        <f t="shared" si="283"/>
        <v>8</v>
      </c>
      <c r="H100" s="2">
        <f t="shared" si="283"/>
        <v>7</v>
      </c>
      <c r="I100" s="2">
        <f t="shared" si="283"/>
        <v>10</v>
      </c>
      <c r="J100" s="2">
        <f t="shared" si="283"/>
        <v>8</v>
      </c>
      <c r="K100" s="2">
        <f t="shared" si="283"/>
        <v>7</v>
      </c>
      <c r="L100" s="2">
        <f t="shared" si="283"/>
        <v>9</v>
      </c>
      <c r="M100" s="2">
        <f t="shared" si="283"/>
        <v>7</v>
      </c>
      <c r="N100" s="2">
        <f t="shared" si="283"/>
        <v>10</v>
      </c>
      <c r="O100" s="2">
        <f t="shared" si="283"/>
        <v>9</v>
      </c>
      <c r="P100" s="2">
        <f t="shared" si="283"/>
        <v>7</v>
      </c>
      <c r="Q100" s="2">
        <f t="shared" si="283"/>
        <v>10</v>
      </c>
      <c r="R100" s="2">
        <f t="shared" si="283"/>
        <v>8</v>
      </c>
      <c r="S100" s="2">
        <f t="shared" si="283"/>
        <v>6</v>
      </c>
      <c r="T100" s="2">
        <f t="shared" si="283"/>
        <v>9</v>
      </c>
      <c r="U100" s="2">
        <f t="shared" si="283"/>
        <v>8</v>
      </c>
      <c r="V100" s="2">
        <f t="shared" si="283"/>
        <v>11</v>
      </c>
      <c r="W100" s="2">
        <f t="shared" si="283"/>
        <v>9</v>
      </c>
      <c r="X100" s="2">
        <f t="shared" si="283"/>
        <v>7</v>
      </c>
    </row>
    <row r="101" spans="1:24" x14ac:dyDescent="0.3">
      <c r="A101" s="8"/>
    </row>
    <row r="102" spans="1:24" s="5" customFormat="1" x14ac:dyDescent="0.3">
      <c r="A102" s="5" t="s">
        <v>71</v>
      </c>
      <c r="C102" s="5" t="s">
        <v>72</v>
      </c>
      <c r="E102" s="5" t="s">
        <v>73</v>
      </c>
    </row>
    <row r="103" spans="1:24" x14ac:dyDescent="0.3">
      <c r="A103" s="8"/>
    </row>
    <row r="104" spans="1:24" x14ac:dyDescent="0.3">
      <c r="A104" s="8"/>
      <c r="B104" s="4">
        <f>DATE(B53, MONTH(B113), DAY(B113)-7)</f>
        <v>43429</v>
      </c>
      <c r="C104" s="4">
        <f t="shared" ref="C104:X104" si="284">DATE(C53, MONTH(C113), DAY(C113)-7)</f>
        <v>43793</v>
      </c>
      <c r="D104" s="4">
        <f t="shared" si="284"/>
        <v>44157</v>
      </c>
      <c r="E104" s="4">
        <f t="shared" si="284"/>
        <v>44521</v>
      </c>
      <c r="F104" s="4">
        <f t="shared" si="284"/>
        <v>44885</v>
      </c>
      <c r="G104" s="4">
        <f t="shared" si="284"/>
        <v>45256</v>
      </c>
      <c r="H104" s="4">
        <f t="shared" si="284"/>
        <v>45620</v>
      </c>
      <c r="I104" s="4">
        <f t="shared" si="284"/>
        <v>45984</v>
      </c>
      <c r="J104" s="4">
        <f t="shared" si="284"/>
        <v>46348</v>
      </c>
      <c r="K104" s="4">
        <f t="shared" si="284"/>
        <v>46712</v>
      </c>
      <c r="L104" s="4">
        <f t="shared" si="284"/>
        <v>47083</v>
      </c>
      <c r="M104" s="4">
        <f t="shared" si="284"/>
        <v>47447</v>
      </c>
      <c r="N104" s="4">
        <f t="shared" si="284"/>
        <v>47811</v>
      </c>
      <c r="O104" s="4">
        <f t="shared" si="284"/>
        <v>48175</v>
      </c>
      <c r="P104" s="4">
        <f t="shared" si="284"/>
        <v>48539</v>
      </c>
      <c r="Q104" s="4">
        <f t="shared" si="284"/>
        <v>48903</v>
      </c>
      <c r="R104" s="4">
        <f t="shared" si="284"/>
        <v>49274</v>
      </c>
      <c r="S104" s="4">
        <f t="shared" si="284"/>
        <v>49638</v>
      </c>
      <c r="T104" s="4">
        <f t="shared" si="284"/>
        <v>50002</v>
      </c>
      <c r="U104" s="4">
        <f t="shared" si="284"/>
        <v>50366</v>
      </c>
      <c r="V104" s="4">
        <f t="shared" si="284"/>
        <v>50730</v>
      </c>
      <c r="W104" s="4">
        <f t="shared" si="284"/>
        <v>51094</v>
      </c>
      <c r="X104" s="4">
        <f t="shared" si="284"/>
        <v>51465</v>
      </c>
    </row>
    <row r="105" spans="1:24" x14ac:dyDescent="0.3">
      <c r="A105" s="8"/>
      <c r="B105" s="2">
        <f t="shared" ref="B105" si="285">WEEKDAY(B104)</f>
        <v>1</v>
      </c>
      <c r="C105" s="2">
        <f t="shared" ref="C105" si="286">WEEKDAY(C104)</f>
        <v>1</v>
      </c>
      <c r="D105" s="2">
        <f t="shared" ref="D105" si="287">WEEKDAY(D104)</f>
        <v>1</v>
      </c>
      <c r="E105" s="2">
        <f t="shared" ref="E105" si="288">WEEKDAY(E104)</f>
        <v>1</v>
      </c>
      <c r="F105" s="2">
        <f t="shared" ref="F105" si="289">WEEKDAY(F104)</f>
        <v>1</v>
      </c>
      <c r="G105" s="2">
        <f t="shared" ref="G105" si="290">WEEKDAY(G104)</f>
        <v>1</v>
      </c>
      <c r="H105" s="2">
        <f t="shared" ref="H105" si="291">WEEKDAY(H104)</f>
        <v>1</v>
      </c>
      <c r="I105" s="2">
        <f t="shared" ref="I105" si="292">WEEKDAY(I104)</f>
        <v>1</v>
      </c>
      <c r="J105" s="2">
        <f t="shared" ref="J105" si="293">WEEKDAY(J104)</f>
        <v>1</v>
      </c>
      <c r="K105" s="2">
        <f t="shared" ref="K105" si="294">WEEKDAY(K104)</f>
        <v>1</v>
      </c>
      <c r="L105" s="2">
        <f t="shared" ref="L105" si="295">WEEKDAY(L104)</f>
        <v>1</v>
      </c>
      <c r="M105" s="2">
        <f t="shared" ref="M105" si="296">WEEKDAY(M104)</f>
        <v>1</v>
      </c>
      <c r="N105" s="2">
        <f t="shared" ref="N105" si="297">WEEKDAY(N104)</f>
        <v>1</v>
      </c>
      <c r="O105" s="2">
        <f t="shared" ref="O105" si="298">WEEKDAY(O104)</f>
        <v>1</v>
      </c>
      <c r="P105" s="2">
        <f t="shared" ref="P105" si="299">WEEKDAY(P104)</f>
        <v>1</v>
      </c>
      <c r="Q105" s="2">
        <f t="shared" ref="Q105" si="300">WEEKDAY(Q104)</f>
        <v>1</v>
      </c>
      <c r="R105" s="2">
        <f t="shared" ref="R105" si="301">WEEKDAY(R104)</f>
        <v>1</v>
      </c>
      <c r="S105" s="2">
        <f t="shared" ref="S105" si="302">WEEKDAY(S104)</f>
        <v>1</v>
      </c>
      <c r="T105" s="2">
        <f t="shared" ref="T105" si="303">WEEKDAY(T104)</f>
        <v>1</v>
      </c>
      <c r="U105" s="2">
        <f t="shared" ref="U105" si="304">WEEKDAY(U104)</f>
        <v>1</v>
      </c>
      <c r="V105" s="2">
        <f t="shared" ref="V105" si="305">WEEKDAY(V104)</f>
        <v>1</v>
      </c>
      <c r="W105" s="2">
        <f t="shared" ref="W105" si="306">WEEKDAY(W104)</f>
        <v>1</v>
      </c>
      <c r="X105" s="2">
        <f t="shared" ref="X105" si="307">WEEKDAY(X104)</f>
        <v>1</v>
      </c>
    </row>
    <row r="106" spans="1:24" x14ac:dyDescent="0.3">
      <c r="A106" s="8"/>
    </row>
    <row r="107" spans="1:24" s="5" customFormat="1" x14ac:dyDescent="0.3">
      <c r="A107" s="5" t="s">
        <v>75</v>
      </c>
    </row>
    <row r="108" spans="1:24" x14ac:dyDescent="0.3">
      <c r="A108" s="8"/>
    </row>
    <row r="109" spans="1:24" x14ac:dyDescent="0.3">
      <c r="A109" s="8"/>
      <c r="B109" s="2">
        <f>34-(B100-B65-1)</f>
        <v>34</v>
      </c>
      <c r="C109" s="2">
        <f>34-(C100-C65-1)</f>
        <v>33</v>
      </c>
      <c r="D109" s="2">
        <f t="shared" ref="D109:X109" si="308">34-(D100-D65-1)</f>
        <v>33</v>
      </c>
      <c r="E109" s="2">
        <f t="shared" si="308"/>
        <v>33</v>
      </c>
      <c r="F109" s="2">
        <f t="shared" si="308"/>
        <v>33</v>
      </c>
      <c r="G109" s="2">
        <f t="shared" si="308"/>
        <v>34</v>
      </c>
      <c r="H109" s="2">
        <f t="shared" si="308"/>
        <v>34</v>
      </c>
      <c r="I109" s="2">
        <f t="shared" si="308"/>
        <v>33</v>
      </c>
      <c r="J109" s="2">
        <f t="shared" si="308"/>
        <v>33</v>
      </c>
      <c r="K109" s="2">
        <f t="shared" si="308"/>
        <v>33</v>
      </c>
      <c r="L109" s="2">
        <f t="shared" si="308"/>
        <v>34</v>
      </c>
      <c r="M109" s="2">
        <f t="shared" si="308"/>
        <v>34</v>
      </c>
      <c r="N109" s="2">
        <f t="shared" si="308"/>
        <v>33</v>
      </c>
      <c r="O109" s="2">
        <f t="shared" si="308"/>
        <v>33</v>
      </c>
      <c r="P109" s="2">
        <f t="shared" si="308"/>
        <v>33</v>
      </c>
      <c r="Q109" s="2">
        <f t="shared" si="308"/>
        <v>33</v>
      </c>
      <c r="R109" s="2">
        <f t="shared" si="308"/>
        <v>34</v>
      </c>
      <c r="S109" s="2">
        <f t="shared" si="308"/>
        <v>34</v>
      </c>
      <c r="T109" s="2">
        <f t="shared" si="308"/>
        <v>33</v>
      </c>
      <c r="U109" s="2">
        <f t="shared" si="308"/>
        <v>33</v>
      </c>
      <c r="V109" s="2">
        <f t="shared" si="308"/>
        <v>33</v>
      </c>
      <c r="W109" s="2">
        <f t="shared" si="308"/>
        <v>33</v>
      </c>
      <c r="X109" s="2">
        <f t="shared" si="308"/>
        <v>34</v>
      </c>
    </row>
    <row r="110" spans="1:24" x14ac:dyDescent="0.3">
      <c r="A110" s="8"/>
    </row>
    <row r="111" spans="1:24" s="5" customFormat="1" x14ac:dyDescent="0.3">
      <c r="A111" s="5" t="s">
        <v>23</v>
      </c>
    </row>
    <row r="112" spans="1:24" x14ac:dyDescent="0.3">
      <c r="A112" s="8"/>
    </row>
    <row r="113" spans="1:24" x14ac:dyDescent="0.3">
      <c r="A113" s="8"/>
      <c r="B113" s="2" t="str">
        <f>TEXT(B8,"M/d/yyyy")</f>
        <v>12/2/2018</v>
      </c>
      <c r="C113" s="2" t="str">
        <f t="shared" ref="C113:X113" si="309">TEXT(C8,"M/d/yyyy")</f>
        <v>12/1/2019</v>
      </c>
      <c r="D113" s="2" t="str">
        <f t="shared" si="309"/>
        <v>11/29/2020</v>
      </c>
      <c r="E113" s="2" t="str">
        <f t="shared" si="309"/>
        <v>11/28/2021</v>
      </c>
      <c r="F113" s="2" t="str">
        <f t="shared" si="309"/>
        <v>11/27/2022</v>
      </c>
      <c r="G113" s="2" t="str">
        <f t="shared" si="309"/>
        <v>12/3/2023</v>
      </c>
      <c r="H113" s="2" t="str">
        <f t="shared" si="309"/>
        <v>12/1/2024</v>
      </c>
      <c r="I113" s="2" t="str">
        <f t="shared" si="309"/>
        <v>11/30/2025</v>
      </c>
      <c r="J113" s="2" t="str">
        <f t="shared" si="309"/>
        <v>11/29/2026</v>
      </c>
      <c r="K113" s="2" t="str">
        <f t="shared" si="309"/>
        <v>11/28/2027</v>
      </c>
      <c r="L113" s="2" t="str">
        <f t="shared" si="309"/>
        <v>12/3/2028</v>
      </c>
      <c r="M113" s="2" t="str">
        <f t="shared" si="309"/>
        <v>12/2/2029</v>
      </c>
      <c r="N113" s="2" t="str">
        <f t="shared" si="309"/>
        <v>12/1/2030</v>
      </c>
      <c r="O113" s="2" t="str">
        <f t="shared" si="309"/>
        <v>11/30/2031</v>
      </c>
      <c r="P113" s="2" t="str">
        <f t="shared" si="309"/>
        <v>11/28/2032</v>
      </c>
      <c r="Q113" s="2" t="str">
        <f t="shared" si="309"/>
        <v>11/27/2033</v>
      </c>
      <c r="R113" s="2" t="str">
        <f t="shared" si="309"/>
        <v>12/3/2034</v>
      </c>
      <c r="S113" s="2" t="str">
        <f t="shared" si="309"/>
        <v>12/2/2035</v>
      </c>
      <c r="T113" s="2" t="str">
        <f t="shared" si="309"/>
        <v>11/30/2036</v>
      </c>
      <c r="U113" s="2" t="str">
        <f t="shared" si="309"/>
        <v>11/29/2037</v>
      </c>
      <c r="V113" s="2" t="str">
        <f t="shared" si="309"/>
        <v>11/28/2038</v>
      </c>
      <c r="W113" s="2" t="str">
        <f t="shared" si="309"/>
        <v>11/27/2039</v>
      </c>
      <c r="X113" s="2" t="str">
        <f t="shared" si="309"/>
        <v>12/2/2040</v>
      </c>
    </row>
    <row r="114" spans="1:24" x14ac:dyDescent="0.3">
      <c r="A114" s="8"/>
      <c r="B114" s="2">
        <f t="shared" ref="B114" si="310">WEEKDAY(B113)</f>
        <v>1</v>
      </c>
      <c r="C114" s="2">
        <f t="shared" ref="C114" si="311">WEEKDAY(C113)</f>
        <v>1</v>
      </c>
      <c r="D114" s="2">
        <f t="shared" ref="D114" si="312">WEEKDAY(D113)</f>
        <v>1</v>
      </c>
      <c r="E114" s="2">
        <f t="shared" ref="E114" si="313">WEEKDAY(E113)</f>
        <v>1</v>
      </c>
      <c r="F114" s="2">
        <f t="shared" ref="F114" si="314">WEEKDAY(F113)</f>
        <v>1</v>
      </c>
      <c r="G114" s="2">
        <f t="shared" ref="G114" si="315">WEEKDAY(G113)</f>
        <v>1</v>
      </c>
      <c r="H114" s="2">
        <f t="shared" ref="H114" si="316">WEEKDAY(H113)</f>
        <v>1</v>
      </c>
      <c r="I114" s="2">
        <f t="shared" ref="I114" si="317">WEEKDAY(I113)</f>
        <v>1</v>
      </c>
      <c r="J114" s="2">
        <f t="shared" ref="J114" si="318">WEEKDAY(J113)</f>
        <v>1</v>
      </c>
      <c r="K114" s="2">
        <f t="shared" ref="K114" si="319">WEEKDAY(K113)</f>
        <v>1</v>
      </c>
      <c r="L114" s="2">
        <f t="shared" ref="L114" si="320">WEEKDAY(L113)</f>
        <v>1</v>
      </c>
      <c r="M114" s="2">
        <f t="shared" ref="M114" si="321">WEEKDAY(M113)</f>
        <v>1</v>
      </c>
      <c r="N114" s="2">
        <f t="shared" ref="N114" si="322">WEEKDAY(N113)</f>
        <v>1</v>
      </c>
      <c r="O114" s="2">
        <f t="shared" ref="O114" si="323">WEEKDAY(O113)</f>
        <v>1</v>
      </c>
      <c r="P114" s="2">
        <f t="shared" ref="P114" si="324">WEEKDAY(P113)</f>
        <v>1</v>
      </c>
      <c r="Q114" s="2">
        <f t="shared" ref="Q114" si="325">WEEKDAY(Q113)</f>
        <v>1</v>
      </c>
      <c r="R114" s="2">
        <f t="shared" ref="R114" si="326">WEEKDAY(R113)</f>
        <v>1</v>
      </c>
      <c r="S114" s="2">
        <f t="shared" ref="S114" si="327">WEEKDAY(S113)</f>
        <v>1</v>
      </c>
      <c r="T114" s="2">
        <f t="shared" ref="T114" si="328">WEEKDAY(T113)</f>
        <v>1</v>
      </c>
      <c r="U114" s="2">
        <f t="shared" ref="U114" si="329">WEEKDAY(U113)</f>
        <v>1</v>
      </c>
      <c r="V114" s="2">
        <f t="shared" ref="V114" si="330">WEEKDAY(V113)</f>
        <v>1</v>
      </c>
      <c r="W114" s="2">
        <f t="shared" ref="W114" si="331">WEEKDAY(W113)</f>
        <v>1</v>
      </c>
      <c r="X114" s="2">
        <f t="shared" ref="X114" si="332">WEEKDAY(X113)</f>
        <v>1</v>
      </c>
    </row>
    <row r="115" spans="1:24" x14ac:dyDescent="0.3">
      <c r="A115" s="8"/>
    </row>
    <row r="116" spans="1:24" s="5" customFormat="1" x14ac:dyDescent="0.3">
      <c r="A116" s="5" t="s">
        <v>24</v>
      </c>
    </row>
    <row r="117" spans="1:24" x14ac:dyDescent="0.3">
      <c r="A117" s="8"/>
    </row>
    <row r="118" spans="1:24" x14ac:dyDescent="0.3">
      <c r="A118" s="8"/>
      <c r="B118" s="2" t="str">
        <f>TEXT(B13,"M/d/yyyy")</f>
        <v>12/23/2018</v>
      </c>
      <c r="C118" s="2" t="str">
        <f t="shared" ref="C118:X118" si="333">TEXT(C13,"M/d/yyyy")</f>
        <v>12/22/2019</v>
      </c>
      <c r="D118" s="2" t="str">
        <f t="shared" si="333"/>
        <v>12/20/2020</v>
      </c>
      <c r="E118" s="2" t="str">
        <f t="shared" si="333"/>
        <v>12/19/2021</v>
      </c>
      <c r="F118" s="2" t="str">
        <f t="shared" si="333"/>
        <v>12/18/2022</v>
      </c>
      <c r="G118" s="2" t="str">
        <f t="shared" si="333"/>
        <v>12/24/2023</v>
      </c>
      <c r="H118" s="2" t="str">
        <f t="shared" si="333"/>
        <v>12/22/2024</v>
      </c>
      <c r="I118" s="2" t="str">
        <f t="shared" si="333"/>
        <v>12/21/2025</v>
      </c>
      <c r="J118" s="2" t="str">
        <f t="shared" si="333"/>
        <v>12/20/2026</v>
      </c>
      <c r="K118" s="2" t="str">
        <f t="shared" si="333"/>
        <v>12/19/2027</v>
      </c>
      <c r="L118" s="2" t="str">
        <f t="shared" si="333"/>
        <v>12/24/2028</v>
      </c>
      <c r="M118" s="2" t="str">
        <f t="shared" si="333"/>
        <v>12/23/2029</v>
      </c>
      <c r="N118" s="2" t="str">
        <f t="shared" si="333"/>
        <v>12/22/2030</v>
      </c>
      <c r="O118" s="2" t="str">
        <f t="shared" si="333"/>
        <v>12/21/2031</v>
      </c>
      <c r="P118" s="2" t="str">
        <f t="shared" si="333"/>
        <v>12/19/2032</v>
      </c>
      <c r="Q118" s="2" t="str">
        <f t="shared" si="333"/>
        <v>12/18/2033</v>
      </c>
      <c r="R118" s="2" t="str">
        <f t="shared" si="333"/>
        <v>12/24/2034</v>
      </c>
      <c r="S118" s="2" t="str">
        <f t="shared" si="333"/>
        <v>12/23/2035</v>
      </c>
      <c r="T118" s="2" t="str">
        <f t="shared" si="333"/>
        <v>12/21/2036</v>
      </c>
      <c r="U118" s="2" t="str">
        <f t="shared" si="333"/>
        <v>12/20/2037</v>
      </c>
      <c r="V118" s="2" t="str">
        <f t="shared" si="333"/>
        <v>12/19/2038</v>
      </c>
      <c r="W118" s="2" t="str">
        <f t="shared" si="333"/>
        <v>12/18/2039</v>
      </c>
      <c r="X118" s="2" t="str">
        <f t="shared" si="333"/>
        <v>12/23/2040</v>
      </c>
    </row>
    <row r="119" spans="1:24" x14ac:dyDescent="0.3">
      <c r="A119" s="8"/>
      <c r="B119" s="2">
        <f t="shared" ref="B119" si="334">WEEKDAY(B118)</f>
        <v>1</v>
      </c>
      <c r="C119" s="2">
        <f t="shared" ref="C119" si="335">WEEKDAY(C118)</f>
        <v>1</v>
      </c>
      <c r="D119" s="2">
        <f t="shared" ref="D119" si="336">WEEKDAY(D118)</f>
        <v>1</v>
      </c>
      <c r="E119" s="2">
        <f t="shared" ref="E119" si="337">WEEKDAY(E118)</f>
        <v>1</v>
      </c>
      <c r="F119" s="2">
        <f t="shared" ref="F119" si="338">WEEKDAY(F118)</f>
        <v>1</v>
      </c>
      <c r="G119" s="2">
        <f t="shared" ref="G119" si="339">WEEKDAY(G118)</f>
        <v>1</v>
      </c>
      <c r="H119" s="2">
        <f t="shared" ref="H119" si="340">WEEKDAY(H118)</f>
        <v>1</v>
      </c>
      <c r="I119" s="2">
        <f t="shared" ref="I119" si="341">WEEKDAY(I118)</f>
        <v>1</v>
      </c>
      <c r="J119" s="2">
        <f t="shared" ref="J119" si="342">WEEKDAY(J118)</f>
        <v>1</v>
      </c>
      <c r="K119" s="2">
        <f t="shared" ref="K119" si="343">WEEKDAY(K118)</f>
        <v>1</v>
      </c>
      <c r="L119" s="2">
        <f t="shared" ref="L119" si="344">WEEKDAY(L118)</f>
        <v>1</v>
      </c>
      <c r="M119" s="2">
        <f t="shared" ref="M119" si="345">WEEKDAY(M118)</f>
        <v>1</v>
      </c>
      <c r="N119" s="2">
        <f t="shared" ref="N119" si="346">WEEKDAY(N118)</f>
        <v>1</v>
      </c>
      <c r="O119" s="2">
        <f t="shared" ref="O119" si="347">WEEKDAY(O118)</f>
        <v>1</v>
      </c>
      <c r="P119" s="2">
        <f t="shared" ref="P119" si="348">WEEKDAY(P118)</f>
        <v>1</v>
      </c>
      <c r="Q119" s="2">
        <f t="shared" ref="Q119" si="349">WEEKDAY(Q118)</f>
        <v>1</v>
      </c>
      <c r="R119" s="2">
        <f t="shared" ref="R119" si="350">WEEKDAY(R118)</f>
        <v>1</v>
      </c>
      <c r="S119" s="2">
        <f t="shared" ref="S119" si="351">WEEKDAY(S118)</f>
        <v>1</v>
      </c>
      <c r="T119" s="2">
        <f t="shared" ref="T119" si="352">WEEKDAY(T118)</f>
        <v>1</v>
      </c>
      <c r="U119" s="2">
        <f t="shared" ref="U119" si="353">WEEKDAY(U118)</f>
        <v>1</v>
      </c>
      <c r="V119" s="2">
        <f t="shared" ref="V119" si="354">WEEKDAY(V118)</f>
        <v>1</v>
      </c>
      <c r="W119" s="2">
        <f t="shared" ref="W119" si="355">WEEKDAY(W118)</f>
        <v>1</v>
      </c>
      <c r="X119" s="2">
        <f t="shared" ref="X119" si="356">WEEKDAY(X118)</f>
        <v>1</v>
      </c>
    </row>
    <row r="120" spans="1:24" x14ac:dyDescent="0.3">
      <c r="A120" s="8"/>
    </row>
    <row r="121" spans="1:24" s="5" customFormat="1" x14ac:dyDescent="0.3">
      <c r="A121" s="5" t="s">
        <v>25</v>
      </c>
      <c r="B121" s="5" t="s">
        <v>27</v>
      </c>
    </row>
    <row r="122" spans="1:24" x14ac:dyDescent="0.3">
      <c r="A122" s="8"/>
    </row>
    <row r="123" spans="1:24" x14ac:dyDescent="0.3">
      <c r="A123" s="8"/>
      <c r="B123" s="4">
        <f>DATE(B53,12,25)</f>
        <v>43459</v>
      </c>
      <c r="C123" s="4">
        <f t="shared" ref="C123:X123" si="357">DATE(C53,12,25)</f>
        <v>43824</v>
      </c>
      <c r="D123" s="4">
        <f t="shared" si="357"/>
        <v>44190</v>
      </c>
      <c r="E123" s="4">
        <f t="shared" si="357"/>
        <v>44555</v>
      </c>
      <c r="F123" s="4">
        <f t="shared" si="357"/>
        <v>44920</v>
      </c>
      <c r="G123" s="4">
        <f t="shared" si="357"/>
        <v>45285</v>
      </c>
      <c r="H123" s="4">
        <f t="shared" si="357"/>
        <v>45651</v>
      </c>
      <c r="I123" s="4">
        <f t="shared" si="357"/>
        <v>46016</v>
      </c>
      <c r="J123" s="4">
        <f t="shared" si="357"/>
        <v>46381</v>
      </c>
      <c r="K123" s="4">
        <f t="shared" si="357"/>
        <v>46746</v>
      </c>
      <c r="L123" s="4">
        <f t="shared" si="357"/>
        <v>47112</v>
      </c>
      <c r="M123" s="4">
        <f t="shared" si="357"/>
        <v>47477</v>
      </c>
      <c r="N123" s="4">
        <f t="shared" si="357"/>
        <v>47842</v>
      </c>
      <c r="O123" s="4">
        <f t="shared" si="357"/>
        <v>48207</v>
      </c>
      <c r="P123" s="4">
        <f t="shared" si="357"/>
        <v>48573</v>
      </c>
      <c r="Q123" s="4">
        <f t="shared" si="357"/>
        <v>48938</v>
      </c>
      <c r="R123" s="4">
        <f t="shared" si="357"/>
        <v>49303</v>
      </c>
      <c r="S123" s="4">
        <f t="shared" si="357"/>
        <v>49668</v>
      </c>
      <c r="T123" s="4">
        <f t="shared" si="357"/>
        <v>50034</v>
      </c>
      <c r="U123" s="4">
        <f t="shared" si="357"/>
        <v>50399</v>
      </c>
      <c r="V123" s="4">
        <f t="shared" si="357"/>
        <v>50764</v>
      </c>
      <c r="W123" s="4">
        <f t="shared" si="357"/>
        <v>51129</v>
      </c>
      <c r="X123" s="4">
        <f t="shared" si="357"/>
        <v>51495</v>
      </c>
    </row>
    <row r="124" spans="1:24" x14ac:dyDescent="0.3">
      <c r="A124" s="8"/>
      <c r="B124" s="2">
        <f t="shared" ref="B124" si="358">WEEKDAY(B123)</f>
        <v>3</v>
      </c>
      <c r="C124" s="2">
        <f t="shared" ref="C124" si="359">WEEKDAY(C123)</f>
        <v>4</v>
      </c>
      <c r="D124" s="2">
        <f t="shared" ref="D124" si="360">WEEKDAY(D123)</f>
        <v>6</v>
      </c>
      <c r="E124" s="2">
        <f t="shared" ref="E124" si="361">WEEKDAY(E123)</f>
        <v>7</v>
      </c>
      <c r="F124" s="2">
        <f t="shared" ref="F124" si="362">WEEKDAY(F123)</f>
        <v>1</v>
      </c>
      <c r="G124" s="2">
        <f t="shared" ref="G124" si="363">WEEKDAY(G123)</f>
        <v>2</v>
      </c>
      <c r="H124" s="2">
        <f t="shared" ref="H124" si="364">WEEKDAY(H123)</f>
        <v>4</v>
      </c>
      <c r="I124" s="2">
        <f t="shared" ref="I124" si="365">WEEKDAY(I123)</f>
        <v>5</v>
      </c>
      <c r="J124" s="2">
        <f t="shared" ref="J124" si="366">WEEKDAY(J123)</f>
        <v>6</v>
      </c>
      <c r="K124" s="2">
        <f t="shared" ref="K124" si="367">WEEKDAY(K123)</f>
        <v>7</v>
      </c>
      <c r="L124" s="2">
        <f t="shared" ref="L124" si="368">WEEKDAY(L123)</f>
        <v>2</v>
      </c>
      <c r="M124" s="2">
        <f t="shared" ref="M124" si="369">WEEKDAY(M123)</f>
        <v>3</v>
      </c>
      <c r="N124" s="2">
        <f t="shared" ref="N124" si="370">WEEKDAY(N123)</f>
        <v>4</v>
      </c>
      <c r="O124" s="2">
        <f t="shared" ref="O124" si="371">WEEKDAY(O123)</f>
        <v>5</v>
      </c>
      <c r="P124" s="2">
        <f t="shared" ref="P124" si="372">WEEKDAY(P123)</f>
        <v>7</v>
      </c>
      <c r="Q124" s="2">
        <f t="shared" ref="Q124" si="373">WEEKDAY(Q123)</f>
        <v>1</v>
      </c>
      <c r="R124" s="2">
        <f t="shared" ref="R124" si="374">WEEKDAY(R123)</f>
        <v>2</v>
      </c>
      <c r="S124" s="2">
        <f t="shared" ref="S124" si="375">WEEKDAY(S123)</f>
        <v>3</v>
      </c>
      <c r="T124" s="2">
        <f t="shared" ref="T124" si="376">WEEKDAY(T123)</f>
        <v>5</v>
      </c>
      <c r="U124" s="2">
        <f t="shared" ref="U124" si="377">WEEKDAY(U123)</f>
        <v>6</v>
      </c>
      <c r="V124" s="2">
        <f t="shared" ref="V124" si="378">WEEKDAY(V123)</f>
        <v>7</v>
      </c>
      <c r="W124" s="2">
        <f t="shared" ref="W124" si="379">WEEKDAY(W123)</f>
        <v>1</v>
      </c>
      <c r="X124" s="2">
        <f t="shared" ref="X124" si="380">WEEKDAY(X123)</f>
        <v>3</v>
      </c>
    </row>
    <row r="125" spans="1:24" x14ac:dyDescent="0.3">
      <c r="A125" s="8"/>
    </row>
    <row r="126" spans="1:24" x14ac:dyDescent="0.3">
      <c r="A126" s="8"/>
    </row>
    <row r="127" spans="1:24" x14ac:dyDescent="0.3">
      <c r="A127" s="8"/>
    </row>
    <row r="128" spans="1:24" x14ac:dyDescent="0.3">
      <c r="A128" s="8"/>
    </row>
    <row r="129" spans="1:1" x14ac:dyDescent="0.3">
      <c r="A129" s="8"/>
    </row>
    <row r="130" spans="1:1" x14ac:dyDescent="0.3">
      <c r="A130" s="8"/>
    </row>
    <row r="131" spans="1:1" x14ac:dyDescent="0.3">
      <c r="A131" s="8"/>
    </row>
    <row r="132" spans="1:1" x14ac:dyDescent="0.3">
      <c r="A132" s="8"/>
    </row>
    <row r="133" spans="1:1" x14ac:dyDescent="0.3">
      <c r="A133" s="8"/>
    </row>
    <row r="134" spans="1:1" x14ac:dyDescent="0.3">
      <c r="A134" s="8"/>
    </row>
    <row r="135" spans="1:1" x14ac:dyDescent="0.3">
      <c r="A135" s="8"/>
    </row>
    <row r="136" spans="1:1" x14ac:dyDescent="0.3">
      <c r="A136" s="8"/>
    </row>
    <row r="137" spans="1:1" x14ac:dyDescent="0.3">
      <c r="A137" s="8"/>
    </row>
    <row r="138" spans="1:1" x14ac:dyDescent="0.3">
      <c r="A138" s="8"/>
    </row>
    <row r="139" spans="1:1" x14ac:dyDescent="0.3">
      <c r="A139" s="8"/>
    </row>
    <row r="140" spans="1:1" x14ac:dyDescent="0.3">
      <c r="A140" s="8"/>
    </row>
    <row r="141" spans="1:1" x14ac:dyDescent="0.3">
      <c r="A141" s="8"/>
    </row>
    <row r="142" spans="1:1" x14ac:dyDescent="0.3">
      <c r="A142" s="8"/>
    </row>
    <row r="143" spans="1:1" x14ac:dyDescent="0.3">
      <c r="A143" s="8"/>
    </row>
    <row r="144" spans="1:1" x14ac:dyDescent="0.3">
      <c r="A144" s="8"/>
    </row>
    <row r="145" spans="1:1" x14ac:dyDescent="0.3">
      <c r="A145" s="8"/>
    </row>
    <row r="146" spans="1:1" x14ac:dyDescent="0.3">
      <c r="A146" s="8"/>
    </row>
    <row r="147" spans="1:1" x14ac:dyDescent="0.3">
      <c r="A147" s="8"/>
    </row>
    <row r="148" spans="1:1" x14ac:dyDescent="0.3">
      <c r="A148" s="8"/>
    </row>
    <row r="149" spans="1:1" x14ac:dyDescent="0.3">
      <c r="A149" s="8"/>
    </row>
    <row r="150" spans="1:1" x14ac:dyDescent="0.3">
      <c r="A150" s="8"/>
    </row>
    <row r="151" spans="1:1" x14ac:dyDescent="0.3">
      <c r="A151" s="8"/>
    </row>
    <row r="152" spans="1:1" x14ac:dyDescent="0.3">
      <c r="A152" s="8"/>
    </row>
    <row r="153" spans="1:1" x14ac:dyDescent="0.3">
      <c r="A153" s="8"/>
    </row>
    <row r="154" spans="1:1" x14ac:dyDescent="0.3">
      <c r="A154" s="8"/>
    </row>
    <row r="155" spans="1:1" x14ac:dyDescent="0.3">
      <c r="A155" s="8"/>
    </row>
    <row r="156" spans="1:1" x14ac:dyDescent="0.3">
      <c r="A156" s="8"/>
    </row>
    <row r="157" spans="1:1" x14ac:dyDescent="0.3">
      <c r="A157" s="8"/>
    </row>
    <row r="158" spans="1:1" x14ac:dyDescent="0.3">
      <c r="A158" s="8"/>
    </row>
    <row r="159" spans="1:1" x14ac:dyDescent="0.3">
      <c r="A159" s="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blue_shrimp</dc:creator>
  <cp:lastModifiedBy>Hyeonsoo Jeong</cp:lastModifiedBy>
  <dcterms:created xsi:type="dcterms:W3CDTF">2022-09-25T11:28:06Z</dcterms:created>
  <dcterms:modified xsi:type="dcterms:W3CDTF">2025-08-15T04:59:08Z</dcterms:modified>
</cp:coreProperties>
</file>