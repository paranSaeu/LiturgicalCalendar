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c27ddcdef4366ee/S. Dominicus Savio/Officium Divinum/전례/"/>
    </mc:Choice>
  </mc:AlternateContent>
  <xr:revisionPtr revIDLastSave="3544" documentId="8_{652DA9A7-3BFD-4440-B2AF-D53B6C66CF38}" xr6:coauthVersionLast="47" xr6:coauthVersionMax="47" xr10:uidLastSave="{DF11E979-FDA8-423B-9D56-2B1C896755C3}"/>
  <bookViews>
    <workbookView xWindow="-108" yWindow="-108" windowWidth="30936" windowHeight="18696" xr2:uid="{F83779E3-B605-45BD-A3B9-228ACE78ACA1}"/>
  </bookViews>
  <sheets>
    <sheet name="고정 축일" sheetId="6" r:id="rId1"/>
    <sheet name="이동 축일" sheetId="7" r:id="rId2"/>
    <sheet name="로마 보편 전례력" sheetId="1" r:id="rId3"/>
    <sheet name="한국 고유 전례력" sheetId="3" r:id="rId4"/>
    <sheet name="해시 정리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4" i="1" l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" i="1"/>
  <c r="D372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" i="1"/>
  <c r="E3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4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" i="1"/>
  <c r="J4" i="1"/>
  <c r="K4" i="1" s="1"/>
  <c r="J5" i="1"/>
  <c r="J6" i="1"/>
  <c r="J7" i="1"/>
  <c r="J8" i="1"/>
  <c r="J9" i="1"/>
  <c r="J10" i="1"/>
  <c r="K10" i="1" s="1"/>
  <c r="J11" i="1"/>
  <c r="J12" i="1"/>
  <c r="K12" i="1" s="1"/>
  <c r="J13" i="1"/>
  <c r="I13" i="1" s="1"/>
  <c r="J14" i="1"/>
  <c r="I14" i="1" s="1"/>
  <c r="J15" i="1"/>
  <c r="K15" i="1" s="1"/>
  <c r="J16" i="1"/>
  <c r="I16" i="1" s="1"/>
  <c r="J17" i="1"/>
  <c r="I17" i="1" s="1"/>
  <c r="J18" i="1"/>
  <c r="K18" i="1" s="1"/>
  <c r="L18" i="1" s="1"/>
  <c r="J19" i="1"/>
  <c r="K19" i="1" s="1"/>
  <c r="L19" i="1" s="1"/>
  <c r="J20" i="1"/>
  <c r="I20" i="1" s="1"/>
  <c r="J21" i="1"/>
  <c r="I21" i="1" s="1"/>
  <c r="J22" i="1"/>
  <c r="J23" i="1"/>
  <c r="J24" i="1"/>
  <c r="J25" i="1"/>
  <c r="K25" i="1" s="1"/>
  <c r="J26" i="1"/>
  <c r="I26" i="1" s="1"/>
  <c r="J27" i="1"/>
  <c r="J28" i="1"/>
  <c r="J29" i="1"/>
  <c r="J30" i="1"/>
  <c r="J31" i="1"/>
  <c r="J32" i="1"/>
  <c r="J33" i="1"/>
  <c r="J34" i="1"/>
  <c r="K34" i="1" s="1"/>
  <c r="J35" i="1"/>
  <c r="I35" i="1" s="1"/>
  <c r="J36" i="1"/>
  <c r="K36" i="1" s="1"/>
  <c r="J37" i="1"/>
  <c r="K37" i="1" s="1"/>
  <c r="J38" i="1"/>
  <c r="K38" i="1" s="1"/>
  <c r="J39" i="1"/>
  <c r="I39" i="1" s="1"/>
  <c r="J40" i="1"/>
  <c r="K40" i="1" s="1"/>
  <c r="J41" i="1"/>
  <c r="K41" i="1" s="1"/>
  <c r="J42" i="1"/>
  <c r="K42" i="1" s="1"/>
  <c r="J43" i="1"/>
  <c r="K43" i="1" s="1"/>
  <c r="J44" i="1"/>
  <c r="K44" i="1" s="1"/>
  <c r="J45" i="1"/>
  <c r="I45" i="1" s="1"/>
  <c r="J46" i="1"/>
  <c r="J47" i="1"/>
  <c r="J48" i="1"/>
  <c r="I48" i="1" s="1"/>
  <c r="J49" i="1"/>
  <c r="K49" i="1" s="1"/>
  <c r="L49" i="1" s="1"/>
  <c r="J50" i="1"/>
  <c r="K50" i="1" s="1"/>
  <c r="L50" i="1" s="1"/>
  <c r="J51" i="1"/>
  <c r="J52" i="1"/>
  <c r="J53" i="1"/>
  <c r="J54" i="1"/>
  <c r="J55" i="1"/>
  <c r="J56" i="1"/>
  <c r="K56" i="1" s="1"/>
  <c r="J57" i="1"/>
  <c r="J58" i="1"/>
  <c r="J59" i="1"/>
  <c r="K59" i="1" s="1"/>
  <c r="L59" i="1" s="1"/>
  <c r="J60" i="1"/>
  <c r="K60" i="1" s="1"/>
  <c r="L60" i="1" s="1"/>
  <c r="J61" i="1"/>
  <c r="K61" i="1" s="1"/>
  <c r="L61" i="1" s="1"/>
  <c r="J62" i="1"/>
  <c r="K62" i="1" s="1"/>
  <c r="J63" i="1"/>
  <c r="J64" i="1"/>
  <c r="I64" i="1" s="1"/>
  <c r="J65" i="1"/>
  <c r="I65" i="1" s="1"/>
  <c r="J66" i="1"/>
  <c r="I66" i="1" s="1"/>
  <c r="J67" i="1"/>
  <c r="I67" i="1" s="1"/>
  <c r="J68" i="1"/>
  <c r="J69" i="1"/>
  <c r="I69" i="1" s="1"/>
  <c r="J70" i="1"/>
  <c r="I70" i="1" s="1"/>
  <c r="J71" i="1"/>
  <c r="J72" i="1"/>
  <c r="J73" i="1"/>
  <c r="J74" i="1"/>
  <c r="J75" i="1"/>
  <c r="K75" i="1" s="1"/>
  <c r="J76" i="1"/>
  <c r="I76" i="1" s="1"/>
  <c r="J77" i="1"/>
  <c r="J78" i="1"/>
  <c r="K78" i="1" s="1"/>
  <c r="J79" i="1"/>
  <c r="I79" i="1" s="1"/>
  <c r="J80" i="1"/>
  <c r="I80" i="1" s="1"/>
  <c r="J81" i="1"/>
  <c r="K81" i="1" s="1"/>
  <c r="J82" i="1"/>
  <c r="K82" i="1" s="1"/>
  <c r="L82" i="1" s="1"/>
  <c r="J83" i="1"/>
  <c r="J84" i="1"/>
  <c r="I84" i="1" s="1"/>
  <c r="J85" i="1"/>
  <c r="K85" i="1" s="1"/>
  <c r="L85" i="1" s="1"/>
  <c r="J86" i="1"/>
  <c r="K86" i="1" s="1"/>
  <c r="J87" i="1"/>
  <c r="J88" i="1"/>
  <c r="I88" i="1" s="1"/>
  <c r="J89" i="1"/>
  <c r="J90" i="1"/>
  <c r="I90" i="1" s="1"/>
  <c r="J91" i="1"/>
  <c r="I91" i="1" s="1"/>
  <c r="J92" i="1"/>
  <c r="I92" i="1" s="1"/>
  <c r="J93" i="1"/>
  <c r="I93" i="1" s="1"/>
  <c r="J94" i="1"/>
  <c r="J95" i="1"/>
  <c r="J96" i="1"/>
  <c r="J97" i="1"/>
  <c r="J98" i="1"/>
  <c r="J99" i="1"/>
  <c r="J100" i="1"/>
  <c r="K100" i="1" s="1"/>
  <c r="J101" i="1"/>
  <c r="K101" i="1" s="1"/>
  <c r="J102" i="1"/>
  <c r="J103" i="1"/>
  <c r="J104" i="1"/>
  <c r="I104" i="1" s="1"/>
  <c r="J105" i="1"/>
  <c r="K105" i="1" s="1"/>
  <c r="L105" i="1" s="1"/>
  <c r="J106" i="1"/>
  <c r="J107" i="1"/>
  <c r="I107" i="1" s="1"/>
  <c r="J108" i="1"/>
  <c r="J109" i="1"/>
  <c r="I109" i="1" s="1"/>
  <c r="J110" i="1"/>
  <c r="K110" i="1" s="1"/>
  <c r="J111" i="1"/>
  <c r="I111" i="1" s="1"/>
  <c r="J112" i="1"/>
  <c r="I112" i="1" s="1"/>
  <c r="J113" i="1"/>
  <c r="I113" i="1" s="1"/>
  <c r="J114" i="1"/>
  <c r="I114" i="1" s="1"/>
  <c r="J115" i="1"/>
  <c r="I115" i="1" s="1"/>
  <c r="J116" i="1"/>
  <c r="K116" i="1" s="1"/>
  <c r="L116" i="1" s="1"/>
  <c r="J117" i="1"/>
  <c r="K117" i="1" s="1"/>
  <c r="J118" i="1"/>
  <c r="J119" i="1"/>
  <c r="K119" i="1" s="1"/>
  <c r="J120" i="1"/>
  <c r="K120" i="1" s="1"/>
  <c r="L120" i="1" s="1"/>
  <c r="J121" i="1"/>
  <c r="K121" i="1" s="1"/>
  <c r="J122" i="1"/>
  <c r="K122" i="1" s="1"/>
  <c r="J123" i="1"/>
  <c r="I123" i="1" s="1"/>
  <c r="J124" i="1"/>
  <c r="J125" i="1"/>
  <c r="K125" i="1" s="1"/>
  <c r="J126" i="1"/>
  <c r="K126" i="1" s="1"/>
  <c r="L126" i="1" s="1"/>
  <c r="J127" i="1"/>
  <c r="K127" i="1" s="1"/>
  <c r="L127" i="1" s="1"/>
  <c r="J128" i="1"/>
  <c r="K128" i="1" s="1"/>
  <c r="J129" i="1"/>
  <c r="K129" i="1" s="1"/>
  <c r="J130" i="1"/>
  <c r="K130" i="1" s="1"/>
  <c r="J131" i="1"/>
  <c r="I131" i="1" s="1"/>
  <c r="J132" i="1"/>
  <c r="I132" i="1" s="1"/>
  <c r="J133" i="1"/>
  <c r="I133" i="1" s="1"/>
  <c r="J134" i="1"/>
  <c r="I134" i="1" s="1"/>
  <c r="J135" i="1"/>
  <c r="I135" i="1" s="1"/>
  <c r="J136" i="1"/>
  <c r="I136" i="1" s="1"/>
  <c r="J137" i="1"/>
  <c r="K137" i="1" s="1"/>
  <c r="L137" i="1" s="1"/>
  <c r="J138" i="1"/>
  <c r="I138" i="1" s="1"/>
  <c r="J139" i="1"/>
  <c r="J140" i="1"/>
  <c r="J141" i="1"/>
  <c r="J142" i="1"/>
  <c r="J143" i="1"/>
  <c r="I143" i="1" s="1"/>
  <c r="J144" i="1"/>
  <c r="I144" i="1" s="1"/>
  <c r="J145" i="1"/>
  <c r="I145" i="1" s="1"/>
  <c r="J146" i="1"/>
  <c r="K146" i="1" s="1"/>
  <c r="J147" i="1"/>
  <c r="K147" i="1" s="1"/>
  <c r="L147" i="1" s="1"/>
  <c r="J148" i="1"/>
  <c r="K148" i="1" s="1"/>
  <c r="L148" i="1" s="1"/>
  <c r="J149" i="1"/>
  <c r="K149" i="1" s="1"/>
  <c r="L149" i="1" s="1"/>
  <c r="J150" i="1"/>
  <c r="K150" i="1" s="1"/>
  <c r="J151" i="1"/>
  <c r="K151" i="1" s="1"/>
  <c r="L151" i="1" s="1"/>
  <c r="J152" i="1"/>
  <c r="K152" i="1" s="1"/>
  <c r="J153" i="1"/>
  <c r="J154" i="1"/>
  <c r="J155" i="1"/>
  <c r="J156" i="1"/>
  <c r="J157" i="1"/>
  <c r="J158" i="1"/>
  <c r="I158" i="1" s="1"/>
  <c r="J159" i="1"/>
  <c r="K159" i="1" s="1"/>
  <c r="L159" i="1" s="1"/>
  <c r="J160" i="1"/>
  <c r="I160" i="1" s="1"/>
  <c r="J161" i="1"/>
  <c r="J162" i="1"/>
  <c r="K162" i="1" s="1"/>
  <c r="J163" i="1"/>
  <c r="J164" i="1"/>
  <c r="K164" i="1" s="1"/>
  <c r="J165" i="1"/>
  <c r="J166" i="1"/>
  <c r="K166" i="1" s="1"/>
  <c r="J167" i="1"/>
  <c r="J168" i="1"/>
  <c r="I168" i="1" s="1"/>
  <c r="J169" i="1"/>
  <c r="J170" i="1"/>
  <c r="K170" i="1" s="1"/>
  <c r="J171" i="1"/>
  <c r="I171" i="1" s="1"/>
  <c r="J172" i="1"/>
  <c r="K172" i="1" s="1"/>
  <c r="J173" i="1"/>
  <c r="K173" i="1" s="1"/>
  <c r="L173" i="1" s="1"/>
  <c r="J174" i="1"/>
  <c r="J175" i="1"/>
  <c r="K175" i="1" s="1"/>
  <c r="J176" i="1"/>
  <c r="K176" i="1" s="1"/>
  <c r="J177" i="1"/>
  <c r="I177" i="1" s="1"/>
  <c r="J178" i="1"/>
  <c r="I178" i="1" s="1"/>
  <c r="J179" i="1"/>
  <c r="I179" i="1" s="1"/>
  <c r="J180" i="1"/>
  <c r="J181" i="1"/>
  <c r="I181" i="1" s="1"/>
  <c r="J182" i="1"/>
  <c r="K182" i="1" s="1"/>
  <c r="J183" i="1"/>
  <c r="J184" i="1"/>
  <c r="J185" i="1"/>
  <c r="J186" i="1"/>
  <c r="J187" i="1"/>
  <c r="J188" i="1"/>
  <c r="K188" i="1" s="1"/>
  <c r="J189" i="1"/>
  <c r="J190" i="1"/>
  <c r="J191" i="1"/>
  <c r="K191" i="1" s="1"/>
  <c r="L191" i="1" s="1"/>
  <c r="J192" i="1"/>
  <c r="K192" i="1" s="1"/>
  <c r="L192" i="1" s="1"/>
  <c r="J193" i="1"/>
  <c r="K193" i="1" s="1"/>
  <c r="L193" i="1" s="1"/>
  <c r="J194" i="1"/>
  <c r="I194" i="1" s="1"/>
  <c r="J195" i="1"/>
  <c r="J196" i="1"/>
  <c r="J197" i="1"/>
  <c r="K197" i="1" s="1"/>
  <c r="J198" i="1"/>
  <c r="J199" i="1"/>
  <c r="I199" i="1" s="1"/>
  <c r="J200" i="1"/>
  <c r="I200" i="1" s="1"/>
  <c r="J201" i="1"/>
  <c r="J202" i="1"/>
  <c r="I202" i="1" s="1"/>
  <c r="J203" i="1"/>
  <c r="K203" i="1" s="1"/>
  <c r="J204" i="1"/>
  <c r="I204" i="1" s="1"/>
  <c r="J205" i="1"/>
  <c r="K205" i="1" s="1"/>
  <c r="J206" i="1"/>
  <c r="K206" i="1" s="1"/>
  <c r="J207" i="1"/>
  <c r="K207" i="1" s="1"/>
  <c r="J208" i="1"/>
  <c r="K208" i="1" s="1"/>
  <c r="J209" i="1"/>
  <c r="J210" i="1"/>
  <c r="K210" i="1" s="1"/>
  <c r="J211" i="1"/>
  <c r="I211" i="1" s="1"/>
  <c r="J212" i="1"/>
  <c r="J213" i="1"/>
  <c r="K213" i="1" s="1"/>
  <c r="J214" i="1"/>
  <c r="K214" i="1" s="1"/>
  <c r="J215" i="1"/>
  <c r="K215" i="1" s="1"/>
  <c r="L215" i="1" s="1"/>
  <c r="I215" i="1" s="1"/>
  <c r="J216" i="1"/>
  <c r="K216" i="1" s="1"/>
  <c r="J217" i="1"/>
  <c r="K217" i="1" s="1"/>
  <c r="J218" i="1"/>
  <c r="K218" i="1" s="1"/>
  <c r="J219" i="1"/>
  <c r="I219" i="1" s="1"/>
  <c r="J220" i="1"/>
  <c r="I220" i="1" s="1"/>
  <c r="J221" i="1"/>
  <c r="J222" i="1"/>
  <c r="J223" i="1"/>
  <c r="J224" i="1"/>
  <c r="J225" i="1"/>
  <c r="K225" i="1" s="1"/>
  <c r="L225" i="1" s="1"/>
  <c r="J226" i="1"/>
  <c r="K226" i="1" s="1"/>
  <c r="L226" i="1" s="1"/>
  <c r="J227" i="1"/>
  <c r="J228" i="1"/>
  <c r="J229" i="1"/>
  <c r="J230" i="1"/>
  <c r="J231" i="1"/>
  <c r="J232" i="1"/>
  <c r="K232" i="1" s="1"/>
  <c r="J233" i="1"/>
  <c r="K233" i="1" s="1"/>
  <c r="J234" i="1"/>
  <c r="K234" i="1" s="1"/>
  <c r="J235" i="1"/>
  <c r="J236" i="1"/>
  <c r="J237" i="1"/>
  <c r="K237" i="1" s="1"/>
  <c r="L237" i="1" s="1"/>
  <c r="J238" i="1"/>
  <c r="K238" i="1" s="1"/>
  <c r="L238" i="1" s="1"/>
  <c r="J239" i="1"/>
  <c r="K239" i="1" s="1"/>
  <c r="L239" i="1" s="1"/>
  <c r="J240" i="1"/>
  <c r="K240" i="1" s="1"/>
  <c r="J241" i="1"/>
  <c r="J242" i="1"/>
  <c r="I242" i="1" s="1"/>
  <c r="J243" i="1"/>
  <c r="I243" i="1" s="1"/>
  <c r="J244" i="1"/>
  <c r="J245" i="1"/>
  <c r="J246" i="1"/>
  <c r="J247" i="1"/>
  <c r="J248" i="1"/>
  <c r="J249" i="1"/>
  <c r="J250" i="1"/>
  <c r="K250" i="1" s="1"/>
  <c r="J251" i="1"/>
  <c r="K251" i="1" s="1"/>
  <c r="J252" i="1"/>
  <c r="J253" i="1"/>
  <c r="K253" i="1" s="1"/>
  <c r="J254" i="1"/>
  <c r="J255" i="1"/>
  <c r="J256" i="1"/>
  <c r="I256" i="1" s="1"/>
  <c r="J257" i="1"/>
  <c r="I257" i="1" s="1"/>
  <c r="J258" i="1"/>
  <c r="I258" i="1" s="1"/>
  <c r="J259" i="1"/>
  <c r="I259" i="1" s="1"/>
  <c r="J260" i="1"/>
  <c r="K260" i="1" s="1"/>
  <c r="J261" i="1"/>
  <c r="K261" i="1" s="1"/>
  <c r="L261" i="1" s="1"/>
  <c r="J262" i="1"/>
  <c r="J263" i="1"/>
  <c r="K263" i="1" s="1"/>
  <c r="J264" i="1"/>
  <c r="I264" i="1" s="1"/>
  <c r="J265" i="1"/>
  <c r="J266" i="1"/>
  <c r="J267" i="1"/>
  <c r="I267" i="1" s="1"/>
  <c r="J268" i="1"/>
  <c r="I268" i="1" s="1"/>
  <c r="J269" i="1"/>
  <c r="K269" i="1" s="1"/>
  <c r="L269" i="1" s="1"/>
  <c r="J270" i="1"/>
  <c r="J271" i="1"/>
  <c r="J272" i="1"/>
  <c r="J273" i="1"/>
  <c r="J274" i="1"/>
  <c r="J275" i="1"/>
  <c r="J276" i="1"/>
  <c r="K276" i="1" s="1"/>
  <c r="J277" i="1"/>
  <c r="J278" i="1"/>
  <c r="J279" i="1"/>
  <c r="K279" i="1" s="1"/>
  <c r="J280" i="1"/>
  <c r="I280" i="1" s="1"/>
  <c r="J281" i="1"/>
  <c r="K281" i="1" s="1"/>
  <c r="L281" i="1" s="1"/>
  <c r="J282" i="1"/>
  <c r="K282" i="1" s="1"/>
  <c r="L282" i="1" s="1"/>
  <c r="J283" i="1"/>
  <c r="K283" i="1" s="1"/>
  <c r="L283" i="1" s="1"/>
  <c r="J284" i="1"/>
  <c r="K284" i="1" s="1"/>
  <c r="J285" i="1"/>
  <c r="J286" i="1"/>
  <c r="K286" i="1" s="1"/>
  <c r="J287" i="1"/>
  <c r="J288" i="1"/>
  <c r="J289" i="1"/>
  <c r="J290" i="1"/>
  <c r="J291" i="1"/>
  <c r="J292" i="1"/>
  <c r="K292" i="1" s="1"/>
  <c r="L292" i="1" s="1"/>
  <c r="J293" i="1"/>
  <c r="J294" i="1"/>
  <c r="J295" i="1"/>
  <c r="J296" i="1"/>
  <c r="J297" i="1"/>
  <c r="J298" i="1"/>
  <c r="K298" i="1" s="1"/>
  <c r="J299" i="1"/>
  <c r="J300" i="1"/>
  <c r="I300" i="1" s="1"/>
  <c r="J301" i="1"/>
  <c r="K301" i="1" s="1"/>
  <c r="J302" i="1"/>
  <c r="I302" i="1" s="1"/>
  <c r="J303" i="1"/>
  <c r="I303" i="1" s="1"/>
  <c r="J304" i="1"/>
  <c r="K304" i="1" s="1"/>
  <c r="J305" i="1"/>
  <c r="K305" i="1" s="1"/>
  <c r="L305" i="1" s="1"/>
  <c r="J306" i="1"/>
  <c r="J307" i="1"/>
  <c r="K307" i="1" s="1"/>
  <c r="J308" i="1"/>
  <c r="J309" i="1"/>
  <c r="J310" i="1"/>
  <c r="J311" i="1"/>
  <c r="J312" i="1"/>
  <c r="I312" i="1" s="1"/>
  <c r="J313" i="1"/>
  <c r="I313" i="1" s="1"/>
  <c r="J314" i="1"/>
  <c r="J315" i="1"/>
  <c r="J316" i="1"/>
  <c r="J317" i="1"/>
  <c r="J318" i="1"/>
  <c r="I318" i="1" s="1"/>
  <c r="J319" i="1"/>
  <c r="I319" i="1" s="1"/>
  <c r="J320" i="1"/>
  <c r="K320" i="1" s="1"/>
  <c r="J321" i="1"/>
  <c r="I321" i="1" s="1"/>
  <c r="J322" i="1"/>
  <c r="I322" i="1" s="1"/>
  <c r="J323" i="1"/>
  <c r="I323" i="1" s="1"/>
  <c r="J324" i="1"/>
  <c r="K324" i="1" s="1"/>
  <c r="L324" i="1" s="1"/>
  <c r="J325" i="1"/>
  <c r="J326" i="1"/>
  <c r="K326" i="1" s="1"/>
  <c r="J327" i="1"/>
  <c r="K327" i="1" s="1"/>
  <c r="L327" i="1" s="1"/>
  <c r="J328" i="1"/>
  <c r="K328" i="1" s="1"/>
  <c r="J329" i="1"/>
  <c r="I329" i="1" s="1"/>
  <c r="J330" i="1"/>
  <c r="I330" i="1" s="1"/>
  <c r="J331" i="1"/>
  <c r="I331" i="1" s="1"/>
  <c r="J332" i="1"/>
  <c r="J333" i="1"/>
  <c r="J334" i="1"/>
  <c r="J335" i="1"/>
  <c r="J336" i="1"/>
  <c r="I336" i="1" s="1"/>
  <c r="J337" i="1"/>
  <c r="J338" i="1"/>
  <c r="J339" i="1"/>
  <c r="J340" i="1"/>
  <c r="K340" i="1" s="1"/>
  <c r="L340" i="1" s="1"/>
  <c r="J341" i="1"/>
  <c r="J342" i="1"/>
  <c r="K342" i="1" s="1"/>
  <c r="J343" i="1"/>
  <c r="I343" i="1" s="1"/>
  <c r="J344" i="1"/>
  <c r="K344" i="1" s="1"/>
  <c r="J345" i="1"/>
  <c r="J346" i="1"/>
  <c r="J347" i="1"/>
  <c r="J348" i="1"/>
  <c r="J349" i="1"/>
  <c r="K349" i="1" s="1"/>
  <c r="L349" i="1" s="1"/>
  <c r="J350" i="1"/>
  <c r="K350" i="1" s="1"/>
  <c r="J351" i="1"/>
  <c r="I351" i="1" s="1"/>
  <c r="J352" i="1"/>
  <c r="K352" i="1" s="1"/>
  <c r="J353" i="1"/>
  <c r="K353" i="1" s="1"/>
  <c r="J354" i="1"/>
  <c r="I354" i="1" s="1"/>
  <c r="J355" i="1"/>
  <c r="J356" i="1"/>
  <c r="I356" i="1" s="1"/>
  <c r="J357" i="1"/>
  <c r="I357" i="1" s="1"/>
  <c r="J358" i="1"/>
  <c r="K358" i="1" s="1"/>
  <c r="J359" i="1"/>
  <c r="J360" i="1"/>
  <c r="I360" i="1" s="1"/>
  <c r="J361" i="1"/>
  <c r="K361" i="1" s="1"/>
  <c r="L361" i="1" s="1"/>
  <c r="J362" i="1"/>
  <c r="K362" i="1" s="1"/>
  <c r="J363" i="1"/>
  <c r="J364" i="1"/>
  <c r="K364" i="1" s="1"/>
  <c r="J365" i="1"/>
  <c r="J366" i="1"/>
  <c r="J367" i="1"/>
  <c r="J368" i="1"/>
  <c r="K368" i="1" s="1"/>
  <c r="J369" i="1"/>
  <c r="J370" i="1"/>
  <c r="K370" i="1" s="1"/>
  <c r="L370" i="1" s="1"/>
  <c r="J371" i="1"/>
  <c r="K371" i="1" s="1"/>
  <c r="L371" i="1" s="1"/>
  <c r="J372" i="1"/>
  <c r="J373" i="1"/>
  <c r="J374" i="1"/>
  <c r="J375" i="1"/>
  <c r="J376" i="1"/>
  <c r="J377" i="1"/>
  <c r="K377" i="1" s="1"/>
  <c r="J378" i="1"/>
  <c r="J379" i="1"/>
  <c r="K379" i="1" s="1"/>
  <c r="L379" i="1" s="1"/>
  <c r="J380" i="1"/>
  <c r="K380" i="1" s="1"/>
  <c r="L380" i="1" s="1"/>
  <c r="J381" i="1"/>
  <c r="J382" i="1"/>
  <c r="J383" i="1"/>
  <c r="J384" i="1"/>
  <c r="J385" i="1"/>
  <c r="J386" i="1"/>
  <c r="K386" i="1" s="1"/>
  <c r="J387" i="1"/>
  <c r="K387" i="1" s="1"/>
  <c r="J388" i="1"/>
  <c r="K388" i="1" s="1"/>
  <c r="J389" i="1"/>
  <c r="J390" i="1"/>
  <c r="J3" i="1"/>
  <c r="K3" i="1" s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4" i="1"/>
  <c r="H5" i="1"/>
  <c r="H6" i="1"/>
  <c r="H7" i="1"/>
  <c r="H8" i="1"/>
  <c r="H9" i="1"/>
  <c r="H10" i="1"/>
  <c r="H11" i="1"/>
  <c r="H12" i="1"/>
  <c r="H13" i="1"/>
  <c r="H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" i="1"/>
  <c r="K202" i="1" l="1"/>
  <c r="L202" i="1" s="1"/>
  <c r="I371" i="1"/>
  <c r="K204" i="1"/>
  <c r="L204" i="1" s="1"/>
  <c r="I283" i="1"/>
  <c r="I276" i="1"/>
  <c r="I261" i="1"/>
  <c r="I122" i="1"/>
  <c r="I176" i="1"/>
  <c r="I175" i="1"/>
  <c r="A175" i="1" s="1"/>
  <c r="K280" i="1"/>
  <c r="L280" i="1" s="1"/>
  <c r="I110" i="1"/>
  <c r="K91" i="1"/>
  <c r="L91" i="1" s="1"/>
  <c r="K390" i="1"/>
  <c r="L390" i="1" s="1"/>
  <c r="K17" i="1"/>
  <c r="L17" i="1" s="1"/>
  <c r="I105" i="1"/>
  <c r="A105" i="1" s="1"/>
  <c r="K389" i="1"/>
  <c r="L389" i="1" s="1"/>
  <c r="I389" i="1" s="1"/>
  <c r="A389" i="1" s="1"/>
  <c r="K16" i="1"/>
  <c r="L16" i="1" s="1"/>
  <c r="I103" i="1"/>
  <c r="A103" i="1" s="1"/>
  <c r="K369" i="1"/>
  <c r="L369" i="1" s="1"/>
  <c r="I369" i="1" s="1"/>
  <c r="A369" i="1" s="1"/>
  <c r="K104" i="1"/>
  <c r="L104" i="1" s="1"/>
  <c r="I193" i="1"/>
  <c r="A193" i="1" s="1"/>
  <c r="I101" i="1"/>
  <c r="A101" i="1" s="1"/>
  <c r="I282" i="1"/>
  <c r="A282" i="1" s="1"/>
  <c r="K257" i="1"/>
  <c r="L257" i="1" s="1"/>
  <c r="K35" i="1"/>
  <c r="L35" i="1" s="1"/>
  <c r="K348" i="1"/>
  <c r="L348" i="1" s="1"/>
  <c r="K103" i="1"/>
  <c r="L103" i="1" s="1"/>
  <c r="I188" i="1"/>
  <c r="I78" i="1"/>
  <c r="K84" i="1"/>
  <c r="L84" i="1" s="1"/>
  <c r="K259" i="1"/>
  <c r="L259" i="1" s="1"/>
  <c r="K325" i="1"/>
  <c r="L325" i="1" s="1"/>
  <c r="K83" i="1"/>
  <c r="K321" i="1"/>
  <c r="L321" i="1" s="1"/>
  <c r="K76" i="1"/>
  <c r="L76" i="1" s="1"/>
  <c r="I370" i="1"/>
  <c r="A370" i="1" s="1"/>
  <c r="I173" i="1"/>
  <c r="A173" i="1" s="1"/>
  <c r="I62" i="1"/>
  <c r="A62" i="1" s="1"/>
  <c r="K39" i="1"/>
  <c r="L39" i="1" s="1"/>
  <c r="L279" i="1"/>
  <c r="I279" i="1" s="1"/>
  <c r="A279" i="1" s="1"/>
  <c r="K258" i="1"/>
  <c r="L258" i="1" s="1"/>
  <c r="K347" i="1"/>
  <c r="L347" i="1" s="1"/>
  <c r="K323" i="1"/>
  <c r="L323" i="1" s="1"/>
  <c r="K171" i="1"/>
  <c r="L171" i="1" s="1"/>
  <c r="I364" i="1"/>
  <c r="A364" i="1" s="1"/>
  <c r="I61" i="1"/>
  <c r="A61" i="1" s="1"/>
  <c r="K312" i="1"/>
  <c r="L312" i="1" s="1"/>
  <c r="L301" i="1"/>
  <c r="I301" i="1" s="1"/>
  <c r="A301" i="1" s="1"/>
  <c r="I169" i="1"/>
  <c r="A169" i="1" s="1"/>
  <c r="I60" i="1"/>
  <c r="I56" i="1"/>
  <c r="K169" i="1"/>
  <c r="L169" i="1" s="1"/>
  <c r="K303" i="1"/>
  <c r="L303" i="1" s="1"/>
  <c r="I305" i="1"/>
  <c r="A305" i="1" s="1"/>
  <c r="K343" i="1"/>
  <c r="L343" i="1" s="1"/>
  <c r="K14" i="1"/>
  <c r="L14" i="1" s="1"/>
  <c r="K302" i="1"/>
  <c r="L302" i="1" s="1"/>
  <c r="K48" i="1"/>
  <c r="L48" i="1" s="1"/>
  <c r="I127" i="1"/>
  <c r="A127" i="1" s="1"/>
  <c r="I352" i="1"/>
  <c r="A352" i="1" s="1"/>
  <c r="K351" i="1"/>
  <c r="L351" i="1" s="1"/>
  <c r="K163" i="1"/>
  <c r="L163" i="1" s="1"/>
  <c r="L15" i="1"/>
  <c r="I15" i="1" s="1"/>
  <c r="A15" i="1" s="1"/>
  <c r="L62" i="1"/>
  <c r="K160" i="1"/>
  <c r="L160" i="1" s="1"/>
  <c r="I344" i="1"/>
  <c r="A344" i="1" s="1"/>
  <c r="I152" i="1"/>
  <c r="A152" i="1" s="1"/>
  <c r="K115" i="1"/>
  <c r="L115" i="1" s="1"/>
  <c r="I263" i="1"/>
  <c r="A263" i="1" s="1"/>
  <c r="K356" i="1"/>
  <c r="L356" i="1" s="1"/>
  <c r="K158" i="1"/>
  <c r="L158" i="1" s="1"/>
  <c r="L170" i="1"/>
  <c r="I170" i="1" s="1"/>
  <c r="A170" i="1" s="1"/>
  <c r="I148" i="1"/>
  <c r="A148" i="1" s="1"/>
  <c r="I126" i="1"/>
  <c r="I151" i="1"/>
  <c r="I239" i="1"/>
  <c r="A239" i="1" s="1"/>
  <c r="I147" i="1"/>
  <c r="A147" i="1" s="1"/>
  <c r="I18" i="1"/>
  <c r="A18" i="1" s="1"/>
  <c r="I238" i="1"/>
  <c r="A238" i="1" s="1"/>
  <c r="I86" i="1"/>
  <c r="A86" i="1" s="1"/>
  <c r="L125" i="1"/>
  <c r="I125" i="1" s="1"/>
  <c r="A125" i="1" s="1"/>
  <c r="I116" i="1"/>
  <c r="A116" i="1" s="1"/>
  <c r="L63" i="1"/>
  <c r="I63" i="1" s="1"/>
  <c r="A63" i="1" s="1"/>
  <c r="K246" i="1"/>
  <c r="L246" i="1" s="1"/>
  <c r="K357" i="1"/>
  <c r="L357" i="1" s="1"/>
  <c r="K346" i="1"/>
  <c r="L346" i="1" s="1"/>
  <c r="K236" i="1"/>
  <c r="L214" i="1"/>
  <c r="I214" i="1" s="1"/>
  <c r="A214" i="1" s="1"/>
  <c r="I85" i="1"/>
  <c r="A85" i="1" s="1"/>
  <c r="I353" i="1"/>
  <c r="A353" i="1" s="1"/>
  <c r="K345" i="1"/>
  <c r="L345" i="1" s="1"/>
  <c r="K235" i="1"/>
  <c r="L235" i="1" s="1"/>
  <c r="L213" i="1"/>
  <c r="I213" i="1" s="1"/>
  <c r="A213" i="1" s="1"/>
  <c r="I328" i="1"/>
  <c r="A328" i="1" s="1"/>
  <c r="K114" i="1"/>
  <c r="L114" i="1" s="1"/>
  <c r="I42" i="1"/>
  <c r="A42" i="1" s="1"/>
  <c r="K63" i="1"/>
  <c r="I327" i="1"/>
  <c r="A327" i="1" s="1"/>
  <c r="I59" i="1"/>
  <c r="A59" i="1" s="1"/>
  <c r="I379" i="1"/>
  <c r="I159" i="1"/>
  <c r="K181" i="1"/>
  <c r="L181" i="1" s="1"/>
  <c r="I210" i="1"/>
  <c r="A210" i="1" s="1"/>
  <c r="I12" i="1"/>
  <c r="A12" i="1" s="1"/>
  <c r="K338" i="1"/>
  <c r="L338" i="1" s="1"/>
  <c r="K73" i="1"/>
  <c r="L73" i="1" s="1"/>
  <c r="K118" i="1"/>
  <c r="L118" i="1" s="1"/>
  <c r="K272" i="1"/>
  <c r="K74" i="1"/>
  <c r="L74" i="1" s="1"/>
  <c r="I74" i="1"/>
  <c r="A74" i="1" s="1"/>
  <c r="K139" i="1"/>
  <c r="L139" i="1" s="1"/>
  <c r="I349" i="1"/>
  <c r="A349" i="1" s="1"/>
  <c r="L350" i="1"/>
  <c r="I350" i="1" s="1"/>
  <c r="A350" i="1" s="1"/>
  <c r="K184" i="1"/>
  <c r="L162" i="1"/>
  <c r="I162" i="1" s="1"/>
  <c r="A162" i="1" s="1"/>
  <c r="L260" i="1"/>
  <c r="I260" i="1" s="1"/>
  <c r="A260" i="1" s="1"/>
  <c r="I192" i="1"/>
  <c r="A192" i="1" s="1"/>
  <c r="K30" i="1"/>
  <c r="L30" i="1" s="1"/>
  <c r="K183" i="1"/>
  <c r="L183" i="1" s="1"/>
  <c r="I183" i="1" s="1"/>
  <c r="A183" i="1" s="1"/>
  <c r="I226" i="1"/>
  <c r="A226" i="1" s="1"/>
  <c r="I225" i="1"/>
  <c r="I19" i="1"/>
  <c r="K161" i="1"/>
  <c r="L161" i="1" s="1"/>
  <c r="I191" i="1"/>
  <c r="A191" i="1" s="1"/>
  <c r="L250" i="1"/>
  <c r="I250" i="1"/>
  <c r="A250" i="1" s="1"/>
  <c r="I96" i="1"/>
  <c r="A96" i="1" s="1"/>
  <c r="K96" i="1"/>
  <c r="L96" i="1" s="1"/>
  <c r="L304" i="1"/>
  <c r="I304" i="1" s="1"/>
  <c r="A304" i="1" s="1"/>
  <c r="K293" i="1"/>
  <c r="I227" i="1"/>
  <c r="A227" i="1" s="1"/>
  <c r="K227" i="1"/>
  <c r="L227" i="1" s="1"/>
  <c r="K95" i="1"/>
  <c r="L95" i="1" s="1"/>
  <c r="I95" i="1"/>
  <c r="A95" i="1" s="1"/>
  <c r="L38" i="1"/>
  <c r="I38" i="1" s="1"/>
  <c r="A38" i="1" s="1"/>
  <c r="K228" i="1"/>
  <c r="L228" i="1" s="1"/>
  <c r="K52" i="1"/>
  <c r="L52" i="1" s="1"/>
  <c r="I52" i="1"/>
  <c r="A52" i="1" s="1"/>
  <c r="I117" i="1"/>
  <c r="A117" i="1" s="1"/>
  <c r="L117" i="1"/>
  <c r="I281" i="1"/>
  <c r="A281" i="1" s="1"/>
  <c r="K360" i="1"/>
  <c r="L360" i="1" s="1"/>
  <c r="K249" i="1"/>
  <c r="L249" i="1" s="1"/>
  <c r="I249" i="1" s="1"/>
  <c r="A249" i="1" s="1"/>
  <c r="K140" i="1"/>
  <c r="L140" i="1" s="1"/>
  <c r="K271" i="1"/>
  <c r="L271" i="1"/>
  <c r="I7" i="1"/>
  <c r="A7" i="1" s="1"/>
  <c r="K7" i="1"/>
  <c r="L7" i="1" s="1"/>
  <c r="L217" i="1"/>
  <c r="I217" i="1" s="1"/>
  <c r="A217" i="1" s="1"/>
  <c r="L216" i="1"/>
  <c r="I216" i="1" s="1"/>
  <c r="A216" i="1" s="1"/>
  <c r="K382" i="1"/>
  <c r="L382" i="1"/>
  <c r="K381" i="1"/>
  <c r="L381" i="1" s="1"/>
  <c r="I381" i="1" s="1"/>
  <c r="I337" i="1"/>
  <c r="A337" i="1" s="1"/>
  <c r="K337" i="1"/>
  <c r="L337" i="1" s="1"/>
  <c r="I205" i="1"/>
  <c r="A205" i="1" s="1"/>
  <c r="L205" i="1"/>
  <c r="K51" i="1"/>
  <c r="L51" i="1" s="1"/>
  <c r="I51" i="1"/>
  <c r="A51" i="1" s="1"/>
  <c r="K385" i="1"/>
  <c r="K363" i="1"/>
  <c r="K341" i="1"/>
  <c r="L341" i="1" s="1"/>
  <c r="K297" i="1"/>
  <c r="L297" i="1" s="1"/>
  <c r="I297" i="1"/>
  <c r="A297" i="1" s="1"/>
  <c r="K231" i="1"/>
  <c r="L231" i="1" s="1"/>
  <c r="I231" i="1" s="1"/>
  <c r="A231" i="1" s="1"/>
  <c r="K209" i="1"/>
  <c r="L209" i="1" s="1"/>
  <c r="I209" i="1"/>
  <c r="A209" i="1" s="1"/>
  <c r="K187" i="1"/>
  <c r="L187" i="1" s="1"/>
  <c r="I187" i="1"/>
  <c r="A187" i="1" s="1"/>
  <c r="K165" i="1"/>
  <c r="L165" i="1" s="1"/>
  <c r="I165" i="1"/>
  <c r="A165" i="1" s="1"/>
  <c r="L121" i="1"/>
  <c r="I121" i="1"/>
  <c r="A121" i="1" s="1"/>
  <c r="K99" i="1"/>
  <c r="L99" i="1" s="1"/>
  <c r="I99" i="1" s="1"/>
  <c r="A99" i="1" s="1"/>
  <c r="K77" i="1"/>
  <c r="L77" i="1" s="1"/>
  <c r="I77" i="1"/>
  <c r="A77" i="1" s="1"/>
  <c r="K55" i="1"/>
  <c r="L55" i="1" s="1"/>
  <c r="I55" i="1"/>
  <c r="A55" i="1" s="1"/>
  <c r="K33" i="1"/>
  <c r="L33" i="1" s="1"/>
  <c r="I33" i="1"/>
  <c r="K11" i="1"/>
  <c r="L11" i="1" s="1"/>
  <c r="I11" i="1"/>
  <c r="A11" i="1" s="1"/>
  <c r="K294" i="1"/>
  <c r="L294" i="1" s="1"/>
  <c r="K8" i="1"/>
  <c r="L8" i="1" s="1"/>
  <c r="I8" i="1" s="1"/>
  <c r="A8" i="1" s="1"/>
  <c r="K29" i="1"/>
  <c r="L29" i="1" s="1"/>
  <c r="L3" i="1"/>
  <c r="I3" i="1" s="1"/>
  <c r="A3" i="1" s="1"/>
  <c r="I82" i="1"/>
  <c r="A82" i="1" s="1"/>
  <c r="K359" i="1"/>
  <c r="L359" i="1" s="1"/>
  <c r="I359" i="1" s="1"/>
  <c r="A359" i="1" s="1"/>
  <c r="L362" i="1"/>
  <c r="I362" i="1" s="1"/>
  <c r="A362" i="1" s="1"/>
  <c r="I340" i="1"/>
  <c r="A340" i="1" s="1"/>
  <c r="K296" i="1"/>
  <c r="L296" i="1" s="1"/>
  <c r="I296" i="1" s="1"/>
  <c r="A296" i="1" s="1"/>
  <c r="K274" i="1"/>
  <c r="L274" i="1" s="1"/>
  <c r="K252" i="1"/>
  <c r="L252" i="1" s="1"/>
  <c r="I252" i="1"/>
  <c r="A252" i="1" s="1"/>
  <c r="K230" i="1"/>
  <c r="L230" i="1" s="1"/>
  <c r="L208" i="1"/>
  <c r="I208" i="1" s="1"/>
  <c r="A208" i="1" s="1"/>
  <c r="K186" i="1"/>
  <c r="L186" i="1" s="1"/>
  <c r="K142" i="1"/>
  <c r="L142" i="1" s="1"/>
  <c r="I142" i="1" s="1"/>
  <c r="A142" i="1" s="1"/>
  <c r="I120" i="1"/>
  <c r="I98" i="1"/>
  <c r="A98" i="1" s="1"/>
  <c r="K98" i="1"/>
  <c r="L98" i="1" s="1"/>
  <c r="K54" i="1"/>
  <c r="L54" i="1" s="1"/>
  <c r="I54" i="1"/>
  <c r="A54" i="1" s="1"/>
  <c r="I32" i="1"/>
  <c r="A32" i="1" s="1"/>
  <c r="K32" i="1"/>
  <c r="L32" i="1" s="1"/>
  <c r="I10" i="1"/>
  <c r="A10" i="1" s="1"/>
  <c r="L10" i="1"/>
  <c r="L206" i="1"/>
  <c r="I206" i="1" s="1"/>
  <c r="A206" i="1" s="1"/>
  <c r="K315" i="1"/>
  <c r="L315" i="1" s="1"/>
  <c r="K316" i="1"/>
  <c r="L316" i="1" s="1"/>
  <c r="L81" i="1"/>
  <c r="I81" i="1" s="1"/>
  <c r="A81" i="1" s="1"/>
  <c r="K383" i="1"/>
  <c r="I361" i="1"/>
  <c r="A361" i="1" s="1"/>
  <c r="K339" i="1"/>
  <c r="K317" i="1"/>
  <c r="L317" i="1" s="1"/>
  <c r="I317" i="1"/>
  <c r="K295" i="1"/>
  <c r="L295" i="1" s="1"/>
  <c r="I295" i="1" s="1"/>
  <c r="A295" i="1" s="1"/>
  <c r="K273" i="1"/>
  <c r="L273" i="1" s="1"/>
  <c r="I273" i="1" s="1"/>
  <c r="A273" i="1" s="1"/>
  <c r="L251" i="1"/>
  <c r="I251" i="1" s="1"/>
  <c r="A251" i="1" s="1"/>
  <c r="K229" i="1"/>
  <c r="L229" i="1" s="1"/>
  <c r="L207" i="1"/>
  <c r="I207" i="1" s="1"/>
  <c r="A207" i="1" s="1"/>
  <c r="I185" i="1"/>
  <c r="A185" i="1" s="1"/>
  <c r="K185" i="1"/>
  <c r="L185" i="1" s="1"/>
  <c r="K141" i="1"/>
  <c r="L119" i="1"/>
  <c r="I119" i="1" s="1"/>
  <c r="A119" i="1" s="1"/>
  <c r="K97" i="1"/>
  <c r="L97" i="1" s="1"/>
  <c r="L75" i="1"/>
  <c r="I75" i="1"/>
  <c r="A75" i="1" s="1"/>
  <c r="K53" i="1"/>
  <c r="L53" i="1"/>
  <c r="K31" i="1"/>
  <c r="K9" i="1"/>
  <c r="K335" i="1"/>
  <c r="L335" i="1" s="1"/>
  <c r="I149" i="1"/>
  <c r="A149" i="1" s="1"/>
  <c r="I324" i="1"/>
  <c r="A324" i="1" s="1"/>
  <c r="K72" i="1"/>
  <c r="L72" i="1" s="1"/>
  <c r="I237" i="1"/>
  <c r="A237" i="1" s="1"/>
  <c r="K6" i="1"/>
  <c r="L6" i="1" s="1"/>
  <c r="K71" i="1"/>
  <c r="L71" i="1" s="1"/>
  <c r="L326" i="1"/>
  <c r="I326" i="1" s="1"/>
  <c r="A326" i="1" s="1"/>
  <c r="K5" i="1"/>
  <c r="L5" i="1" s="1"/>
  <c r="K290" i="1"/>
  <c r="L290" i="1" s="1"/>
  <c r="K70" i="1"/>
  <c r="L70" i="1" s="1"/>
  <c r="K314" i="1"/>
  <c r="L314" i="1" s="1"/>
  <c r="L203" i="1"/>
  <c r="I203" i="1" s="1"/>
  <c r="K27" i="1"/>
  <c r="L27" i="1" s="1"/>
  <c r="K291" i="1"/>
  <c r="L291" i="1" s="1"/>
  <c r="K334" i="1"/>
  <c r="L334" i="1" s="1"/>
  <c r="I334" i="1" s="1"/>
  <c r="K268" i="1"/>
  <c r="L268" i="1" s="1"/>
  <c r="K138" i="1"/>
  <c r="L138" i="1" s="1"/>
  <c r="K270" i="1"/>
  <c r="L270" i="1" s="1"/>
  <c r="L368" i="1"/>
  <c r="I368" i="1" s="1"/>
  <c r="A368" i="1" s="1"/>
  <c r="K313" i="1"/>
  <c r="L313" i="1" s="1"/>
  <c r="K180" i="1"/>
  <c r="L180" i="1" s="1"/>
  <c r="I180" i="1" s="1"/>
  <c r="K26" i="1"/>
  <c r="L26" i="1" s="1"/>
  <c r="K336" i="1"/>
  <c r="L336" i="1" s="1"/>
  <c r="K224" i="1"/>
  <c r="L224" i="1" s="1"/>
  <c r="K262" i="1"/>
  <c r="L262" i="1" s="1"/>
  <c r="K136" i="1"/>
  <c r="L136" i="1" s="1"/>
  <c r="K94" i="1"/>
  <c r="L94" i="1" s="1"/>
  <c r="L182" i="1"/>
  <c r="I182" i="1" s="1"/>
  <c r="A182" i="1" s="1"/>
  <c r="K28" i="1"/>
  <c r="L28" i="1" s="1"/>
  <c r="K93" i="1"/>
  <c r="L93" i="1" s="1"/>
  <c r="K248" i="1"/>
  <c r="L248" i="1" s="1"/>
  <c r="L358" i="1"/>
  <c r="I358" i="1" s="1"/>
  <c r="A358" i="1" s="1"/>
  <c r="I380" i="1"/>
  <c r="A380" i="1" s="1"/>
  <c r="I292" i="1"/>
  <c r="A292" i="1" s="1"/>
  <c r="I94" i="1"/>
  <c r="A94" i="1" s="1"/>
  <c r="I50" i="1"/>
  <c r="A50" i="1" s="1"/>
  <c r="I6" i="1"/>
  <c r="A6" i="1" s="1"/>
  <c r="K92" i="1"/>
  <c r="L92" i="1" s="1"/>
  <c r="K247" i="1"/>
  <c r="L247" i="1" s="1"/>
  <c r="I269" i="1"/>
  <c r="I137" i="1"/>
  <c r="A137" i="1" s="1"/>
  <c r="I49" i="1"/>
  <c r="L218" i="1"/>
  <c r="I218" i="1" s="1"/>
  <c r="A218" i="1" s="1"/>
  <c r="K378" i="1"/>
  <c r="L378" i="1" s="1"/>
  <c r="L100" i="1"/>
  <c r="I100" i="1" s="1"/>
  <c r="A100" i="1" s="1"/>
  <c r="K201" i="1"/>
  <c r="L201" i="1"/>
  <c r="A133" i="1"/>
  <c r="K133" i="1"/>
  <c r="L133" i="1" s="1"/>
  <c r="L352" i="1"/>
  <c r="K223" i="1"/>
  <c r="L223" i="1" s="1"/>
  <c r="K113" i="1"/>
  <c r="L113" i="1" s="1"/>
  <c r="K332" i="1"/>
  <c r="K375" i="1"/>
  <c r="K23" i="1"/>
  <c r="K264" i="1"/>
  <c r="L264" i="1" s="1"/>
  <c r="L44" i="1"/>
  <c r="I44" i="1" s="1"/>
  <c r="A44" i="1" s="1"/>
  <c r="K329" i="1"/>
  <c r="L329" i="1" s="1"/>
  <c r="A329" i="1"/>
  <c r="L263" i="1"/>
  <c r="L43" i="1"/>
  <c r="I43" i="1" s="1"/>
  <c r="K196" i="1"/>
  <c r="K306" i="1"/>
  <c r="K174" i="1"/>
  <c r="L174" i="1" s="1"/>
  <c r="L240" i="1"/>
  <c r="I240" i="1" s="1"/>
  <c r="A240" i="1" s="1"/>
  <c r="L152" i="1"/>
  <c r="L284" i="1"/>
  <c r="I284" i="1" s="1"/>
  <c r="A284" i="1" s="1"/>
  <c r="L150" i="1"/>
  <c r="I150" i="1" s="1"/>
  <c r="K289" i="1"/>
  <c r="L289" i="1" s="1"/>
  <c r="K200" i="1"/>
  <c r="L200" i="1" s="1"/>
  <c r="K309" i="1"/>
  <c r="K132" i="1"/>
  <c r="L132" i="1" s="1"/>
  <c r="A132" i="1"/>
  <c r="K222" i="1"/>
  <c r="A134" i="1"/>
  <c r="K134" i="1"/>
  <c r="L134" i="1" s="1"/>
  <c r="A111" i="1"/>
  <c r="L353" i="1"/>
  <c r="K145" i="1"/>
  <c r="L145" i="1" s="1"/>
  <c r="K69" i="1"/>
  <c r="L69" i="1"/>
  <c r="K244" i="1"/>
  <c r="K90" i="1"/>
  <c r="L90" i="1" s="1"/>
  <c r="K155" i="1"/>
  <c r="K374" i="1"/>
  <c r="K153" i="1"/>
  <c r="K108" i="1"/>
  <c r="K102" i="1"/>
  <c r="L102" i="1" s="1"/>
  <c r="K211" i="1"/>
  <c r="L211" i="1" s="1"/>
  <c r="K372" i="1"/>
  <c r="L40" i="1"/>
  <c r="K245" i="1"/>
  <c r="K288" i="1"/>
  <c r="L288" i="1"/>
  <c r="K68" i="1"/>
  <c r="I68" i="1" s="1"/>
  <c r="K221" i="1"/>
  <c r="L221" i="1" s="1"/>
  <c r="K45" i="1"/>
  <c r="L45" i="1" s="1"/>
  <c r="A45" i="1"/>
  <c r="K308" i="1"/>
  <c r="K266" i="1"/>
  <c r="L266" i="1" s="1"/>
  <c r="K219" i="1"/>
  <c r="L219" i="1" s="1"/>
  <c r="L175" i="1"/>
  <c r="K366" i="1"/>
  <c r="K300" i="1"/>
  <c r="L300" i="1" s="1"/>
  <c r="A300" i="1"/>
  <c r="K212" i="1"/>
  <c r="L212" i="1" s="1"/>
  <c r="K58" i="1"/>
  <c r="L58" i="1" s="1"/>
  <c r="K365" i="1"/>
  <c r="L365" i="1" s="1"/>
  <c r="K255" i="1"/>
  <c r="L255" i="1" s="1"/>
  <c r="K167" i="1"/>
  <c r="L167" i="1" s="1"/>
  <c r="L101" i="1"/>
  <c r="A35" i="1"/>
  <c r="L386" i="1"/>
  <c r="K144" i="1"/>
  <c r="L144" i="1" s="1"/>
  <c r="A144" i="1"/>
  <c r="K22" i="1"/>
  <c r="L22" i="1" s="1"/>
  <c r="L42" i="1"/>
  <c r="K20" i="1"/>
  <c r="L20" i="1" s="1"/>
  <c r="K177" i="1"/>
  <c r="L177" i="1" s="1"/>
  <c r="K311" i="1"/>
  <c r="L86" i="1"/>
  <c r="L377" i="1"/>
  <c r="I377" i="1" s="1"/>
  <c r="K47" i="1"/>
  <c r="L47" i="1" s="1"/>
  <c r="K46" i="1"/>
  <c r="L46" i="1" s="1"/>
  <c r="K89" i="1"/>
  <c r="K330" i="1"/>
  <c r="L330" i="1" s="1"/>
  <c r="K242" i="1"/>
  <c r="L242" i="1" s="1"/>
  <c r="A242" i="1"/>
  <c r="K220" i="1"/>
  <c r="L220" i="1" s="1"/>
  <c r="L176" i="1"/>
  <c r="A176" i="1"/>
  <c r="K66" i="1"/>
  <c r="L66" i="1" s="1"/>
  <c r="L307" i="1"/>
  <c r="I307" i="1" s="1"/>
  <c r="A307" i="1" s="1"/>
  <c r="K64" i="1"/>
  <c r="L64" i="1" s="1"/>
  <c r="L344" i="1"/>
  <c r="L234" i="1"/>
  <c r="L36" i="1"/>
  <c r="I36" i="1" s="1"/>
  <c r="A343" i="1"/>
  <c r="K277" i="1"/>
  <c r="L277" i="1" s="1"/>
  <c r="K189" i="1"/>
  <c r="L189" i="1" s="1"/>
  <c r="A13" i="1"/>
  <c r="K179" i="1"/>
  <c r="L179" i="1" s="1"/>
  <c r="L164" i="1"/>
  <c r="I164" i="1" s="1"/>
  <c r="A164" i="1" s="1"/>
  <c r="K123" i="1"/>
  <c r="L123" i="1" s="1"/>
  <c r="K87" i="1"/>
  <c r="L87" i="1" s="1"/>
  <c r="K310" i="1"/>
  <c r="L310" i="1" s="1"/>
  <c r="K157" i="1"/>
  <c r="L130" i="1"/>
  <c r="I130" i="1" s="1"/>
  <c r="A130" i="1" s="1"/>
  <c r="K355" i="1"/>
  <c r="L355" i="1" s="1"/>
  <c r="K135" i="1"/>
  <c r="L135" i="1" s="1"/>
  <c r="K376" i="1"/>
  <c r="L376" i="1" s="1"/>
  <c r="K287" i="1"/>
  <c r="L287" i="1"/>
  <c r="K199" i="1"/>
  <c r="L199" i="1"/>
  <c r="L110" i="1"/>
  <c r="A110" i="1"/>
  <c r="K241" i="1"/>
  <c r="K109" i="1"/>
  <c r="L109" i="1" s="1"/>
  <c r="L328" i="1"/>
  <c r="K256" i="1"/>
  <c r="L256" i="1" s="1"/>
  <c r="K80" i="1"/>
  <c r="L80" i="1" s="1"/>
  <c r="K178" i="1"/>
  <c r="L178" i="1" s="1"/>
  <c r="L41" i="1"/>
  <c r="K285" i="1"/>
  <c r="K156" i="1"/>
  <c r="L129" i="1"/>
  <c r="L37" i="1"/>
  <c r="K331" i="1"/>
  <c r="L331" i="1" s="1"/>
  <c r="L146" i="1"/>
  <c r="I146" i="1" s="1"/>
  <c r="A146" i="1" s="1"/>
  <c r="K79" i="1"/>
  <c r="L79" i="1" s="1"/>
  <c r="A79" i="1"/>
  <c r="L128" i="1"/>
  <c r="L25" i="1"/>
  <c r="I25" i="1" s="1"/>
  <c r="K354" i="1"/>
  <c r="L354" i="1"/>
  <c r="K24" i="1"/>
  <c r="K243" i="1"/>
  <c r="L243" i="1" s="1"/>
  <c r="K67" i="1"/>
  <c r="L67" i="1" s="1"/>
  <c r="K267" i="1"/>
  <c r="L267" i="1" s="1"/>
  <c r="L286" i="1"/>
  <c r="I286" i="1" s="1"/>
  <c r="A286" i="1" s="1"/>
  <c r="K154" i="1"/>
  <c r="K88" i="1"/>
  <c r="L88" i="1" s="1"/>
  <c r="L197" i="1"/>
  <c r="K131" i="1"/>
  <c r="L131" i="1" s="1"/>
  <c r="A65" i="1"/>
  <c r="K65" i="1"/>
  <c r="L65" i="1" s="1"/>
  <c r="L4" i="1"/>
  <c r="I4" i="1" s="1"/>
  <c r="K265" i="1"/>
  <c r="L265" i="1" s="1"/>
  <c r="L388" i="1"/>
  <c r="A168" i="1"/>
  <c r="K168" i="1"/>
  <c r="L168" i="1" s="1"/>
  <c r="L387" i="1"/>
  <c r="K299" i="1"/>
  <c r="L299" i="1" s="1"/>
  <c r="L233" i="1"/>
  <c r="I233" i="1" s="1"/>
  <c r="A233" i="1" s="1"/>
  <c r="K57" i="1"/>
  <c r="L57" i="1" s="1"/>
  <c r="K333" i="1"/>
  <c r="L122" i="1"/>
  <c r="K373" i="1"/>
  <c r="K198" i="1"/>
  <c r="K124" i="1"/>
  <c r="K21" i="1"/>
  <c r="L21" i="1" s="1"/>
  <c r="K13" i="1"/>
  <c r="L13" i="1" s="1"/>
  <c r="K278" i="1"/>
  <c r="K190" i="1"/>
  <c r="K112" i="1"/>
  <c r="L112" i="1" s="1"/>
  <c r="K322" i="1"/>
  <c r="L322" i="1" s="1"/>
  <c r="K111" i="1"/>
  <c r="L111" i="1" s="1"/>
  <c r="L172" i="1"/>
  <c r="I172" i="1" s="1"/>
  <c r="K195" i="1"/>
  <c r="K143" i="1"/>
  <c r="L143" i="1" s="1"/>
  <c r="K318" i="1"/>
  <c r="L318" i="1" s="1"/>
  <c r="L364" i="1"/>
  <c r="L342" i="1"/>
  <c r="I342" i="1" s="1"/>
  <c r="A342" i="1" s="1"/>
  <c r="L320" i="1"/>
  <c r="L298" i="1"/>
  <c r="I298" i="1" s="1"/>
  <c r="A298" i="1" s="1"/>
  <c r="L276" i="1"/>
  <c r="L232" i="1"/>
  <c r="L210" i="1"/>
  <c r="L188" i="1"/>
  <c r="L166" i="1"/>
  <c r="I166" i="1" s="1"/>
  <c r="L78" i="1"/>
  <c r="L56" i="1"/>
  <c r="L34" i="1"/>
  <c r="L12" i="1"/>
  <c r="K319" i="1"/>
  <c r="L319" i="1" s="1"/>
  <c r="K254" i="1"/>
  <c r="L254" i="1" s="1"/>
  <c r="K194" i="1"/>
  <c r="L194" i="1" s="1"/>
  <c r="K384" i="1"/>
  <c r="L384" i="1" s="1"/>
  <c r="L253" i="1"/>
  <c r="K107" i="1"/>
  <c r="L107" i="1" s="1"/>
  <c r="K367" i="1"/>
  <c r="L367" i="1" s="1"/>
  <c r="K106" i="1"/>
  <c r="A33" i="1"/>
  <c r="K275" i="1"/>
  <c r="L275" i="1" s="1"/>
  <c r="A276" i="1"/>
  <c r="A199" i="1"/>
  <c r="A67" i="1"/>
  <c r="A80" i="1"/>
  <c r="A78" i="1"/>
  <c r="A268" i="1"/>
  <c r="A323" i="1"/>
  <c r="A322" i="1"/>
  <c r="A256" i="1"/>
  <c r="A143" i="1"/>
  <c r="A321" i="1"/>
  <c r="A120" i="1"/>
  <c r="A123" i="1"/>
  <c r="A351" i="1"/>
  <c r="A219" i="1"/>
  <c r="A131" i="1"/>
  <c r="A39" i="1"/>
  <c r="A257" i="1"/>
  <c r="A211" i="1"/>
  <c r="A188" i="1"/>
  <c r="A204" i="1"/>
  <c r="A138" i="1"/>
  <c r="A56" i="1"/>
  <c r="A76" i="1"/>
  <c r="A17" i="1"/>
  <c r="A122" i="1"/>
  <c r="A16" i="1"/>
  <c r="A336" i="1"/>
  <c r="A160" i="1"/>
  <c r="A283" i="1"/>
  <c r="A261" i="1"/>
  <c r="A331" i="1"/>
  <c r="A330" i="1"/>
  <c r="A259" i="1"/>
  <c r="A60" i="1"/>
  <c r="A64" i="1"/>
  <c r="A109" i="1"/>
  <c r="A302" i="1"/>
  <c r="A104" i="1"/>
  <c r="A371" i="1"/>
  <c r="A194" i="1"/>
  <c r="A243" i="1"/>
  <c r="A151" i="1"/>
  <c r="A303" i="1"/>
  <c r="A107" i="1"/>
  <c r="A84" i="1"/>
  <c r="A171" i="1"/>
  <c r="A360" i="1"/>
  <c r="A145" i="1"/>
  <c r="A126" i="1"/>
  <c r="A177" i="1"/>
  <c r="A215" i="1"/>
  <c r="A264" i="1"/>
  <c r="A220" i="1"/>
  <c r="A200" i="1"/>
  <c r="A21" i="1"/>
  <c r="A20" i="1"/>
  <c r="A14" i="1"/>
  <c r="I53" i="1" l="1"/>
  <c r="A53" i="1" s="1"/>
  <c r="I229" i="1"/>
  <c r="A229" i="1" s="1"/>
  <c r="I347" i="1"/>
  <c r="A347" i="1" s="1"/>
  <c r="I291" i="1"/>
  <c r="I348" i="1"/>
  <c r="A348" i="1" s="1"/>
  <c r="I325" i="1"/>
  <c r="A325" i="1" s="1"/>
  <c r="I390" i="1"/>
  <c r="A390" i="1" s="1"/>
  <c r="L83" i="1"/>
  <c r="I83" i="1" s="1"/>
  <c r="A83" i="1" s="1"/>
  <c r="I345" i="1"/>
  <c r="A345" i="1" s="1"/>
  <c r="I275" i="1"/>
  <c r="A275" i="1" s="1"/>
  <c r="I335" i="1"/>
  <c r="A335" i="1" s="1"/>
  <c r="I246" i="1"/>
  <c r="A246" i="1" s="1"/>
  <c r="I271" i="1"/>
  <c r="A271" i="1" s="1"/>
  <c r="I270" i="1"/>
  <c r="A270" i="1" s="1"/>
  <c r="I97" i="1"/>
  <c r="A97" i="1" s="1"/>
  <c r="I27" i="1"/>
  <c r="A27" i="1" s="1"/>
  <c r="I139" i="1"/>
  <c r="A139" i="1" s="1"/>
  <c r="I382" i="1"/>
  <c r="A382" i="1" s="1"/>
  <c r="L236" i="1"/>
  <c r="I236" i="1" s="1"/>
  <c r="A236" i="1" s="1"/>
  <c r="I346" i="1"/>
  <c r="A346" i="1" s="1"/>
  <c r="I235" i="1"/>
  <c r="A235" i="1" s="1"/>
  <c r="I338" i="1"/>
  <c r="A338" i="1" s="1"/>
  <c r="I341" i="1"/>
  <c r="A341" i="1" s="1"/>
  <c r="I378" i="1"/>
  <c r="A378" i="1" s="1"/>
  <c r="I367" i="1"/>
  <c r="A367" i="1" s="1"/>
  <c r="I163" i="1"/>
  <c r="A163" i="1" s="1"/>
  <c r="I161" i="1"/>
  <c r="A161" i="1" s="1"/>
  <c r="L272" i="1"/>
  <c r="I272" i="1" s="1"/>
  <c r="A272" i="1" s="1"/>
  <c r="I230" i="1"/>
  <c r="A230" i="1" s="1"/>
  <c r="I102" i="1"/>
  <c r="A102" i="1" s="1"/>
  <c r="I277" i="1"/>
  <c r="A277" i="1" s="1"/>
  <c r="I232" i="1"/>
  <c r="A232" i="1" s="1"/>
  <c r="I287" i="1"/>
  <c r="A287" i="1" s="1"/>
  <c r="I290" i="1"/>
  <c r="A290" i="1" s="1"/>
  <c r="L373" i="1"/>
  <c r="I373" i="1" s="1"/>
  <c r="A373" i="1" s="1"/>
  <c r="L156" i="1"/>
  <c r="I156" i="1" s="1"/>
  <c r="A156" i="1" s="1"/>
  <c r="I289" i="1"/>
  <c r="A289" i="1" s="1"/>
  <c r="I274" i="1"/>
  <c r="A274" i="1" s="1"/>
  <c r="I228" i="1"/>
  <c r="A228" i="1" s="1"/>
  <c r="I186" i="1"/>
  <c r="A186" i="1" s="1"/>
  <c r="I190" i="1"/>
  <c r="I153" i="1"/>
  <c r="I315" i="1"/>
  <c r="A315" i="1" s="1"/>
  <c r="L308" i="1"/>
  <c r="I308" i="1" s="1"/>
  <c r="A308" i="1" s="1"/>
  <c r="I376" i="1"/>
  <c r="A376" i="1" s="1"/>
  <c r="A36" i="1"/>
  <c r="I47" i="1"/>
  <c r="A47" i="1" s="1"/>
  <c r="I365" i="1"/>
  <c r="A365" i="1" s="1"/>
  <c r="I221" i="1"/>
  <c r="A221" i="1" s="1"/>
  <c r="L293" i="1"/>
  <c r="I293" i="1" s="1"/>
  <c r="A293" i="1" s="1"/>
  <c r="L153" i="1"/>
  <c r="I129" i="1"/>
  <c r="A129" i="1" s="1"/>
  <c r="I288" i="1"/>
  <c r="A288" i="1" s="1"/>
  <c r="L141" i="1"/>
  <c r="I141" i="1" s="1"/>
  <c r="A141" i="1" s="1"/>
  <c r="L339" i="1"/>
  <c r="I339" i="1" s="1"/>
  <c r="A339" i="1" s="1"/>
  <c r="I294" i="1"/>
  <c r="A294" i="1" s="1"/>
  <c r="I140" i="1"/>
  <c r="A140" i="1" s="1"/>
  <c r="I71" i="1"/>
  <c r="A71" i="1" s="1"/>
  <c r="L184" i="1"/>
  <c r="I184" i="1" s="1"/>
  <c r="A184" i="1" s="1"/>
  <c r="I73" i="1"/>
  <c r="A73" i="1" s="1"/>
  <c r="I46" i="1"/>
  <c r="A46" i="1" s="1"/>
  <c r="I58" i="1"/>
  <c r="A58" i="1" s="1"/>
  <c r="L363" i="1"/>
  <c r="I363" i="1" s="1"/>
  <c r="A363" i="1" s="1"/>
  <c r="L24" i="1"/>
  <c r="I24" i="1"/>
  <c r="A24" i="1" s="1"/>
  <c r="I212" i="1"/>
  <c r="A212" i="1" s="1"/>
  <c r="I253" i="1"/>
  <c r="A253" i="1" s="1"/>
  <c r="I118" i="1"/>
  <c r="A118" i="1" s="1"/>
  <c r="I265" i="1"/>
  <c r="A265" i="1" s="1"/>
  <c r="I30" i="1"/>
  <c r="A30" i="1" s="1"/>
  <c r="L31" i="1"/>
  <c r="I31" i="1" s="1"/>
  <c r="A31" i="1" s="1"/>
  <c r="L374" i="1"/>
  <c r="I374" i="1" s="1"/>
  <c r="L23" i="1"/>
  <c r="I23" i="1" s="1"/>
  <c r="A23" i="1" s="1"/>
  <c r="L332" i="1"/>
  <c r="I332" i="1" s="1"/>
  <c r="A332" i="1" s="1"/>
  <c r="I310" i="1"/>
  <c r="A310" i="1" s="1"/>
  <c r="I72" i="1"/>
  <c r="A72" i="1" s="1"/>
  <c r="I247" i="1"/>
  <c r="A247" i="1" s="1"/>
  <c r="L241" i="1"/>
  <c r="I316" i="1"/>
  <c r="A316" i="1" s="1"/>
  <c r="L309" i="1"/>
  <c r="I309" i="1"/>
  <c r="L155" i="1"/>
  <c r="I155" i="1" s="1"/>
  <c r="A155" i="1" s="1"/>
  <c r="L333" i="1"/>
  <c r="I333" i="1" s="1"/>
  <c r="A333" i="1" s="1"/>
  <c r="I5" i="1"/>
  <c r="A5" i="1" s="1"/>
  <c r="I41" i="1"/>
  <c r="A41" i="1" s="1"/>
  <c r="L68" i="1"/>
  <c r="I355" i="1"/>
  <c r="A355" i="1" s="1"/>
  <c r="L195" i="1"/>
  <c r="I195" i="1" s="1"/>
  <c r="A195" i="1" s="1"/>
  <c r="I299" i="1"/>
  <c r="A299" i="1" s="1"/>
  <c r="I87" i="1"/>
  <c r="I22" i="1"/>
  <c r="A22" i="1" s="1"/>
  <c r="L245" i="1"/>
  <c r="I245" i="1" s="1"/>
  <c r="A245" i="1" s="1"/>
  <c r="I223" i="1"/>
  <c r="A223" i="1" s="1"/>
  <c r="I28" i="1"/>
  <c r="A28" i="1" s="1"/>
  <c r="L222" i="1"/>
  <c r="I222" i="1" s="1"/>
  <c r="A222" i="1" s="1"/>
  <c r="I34" i="1"/>
  <c r="A34" i="1" s="1"/>
  <c r="I197" i="1"/>
  <c r="A197" i="1" s="1"/>
  <c r="I262" i="1"/>
  <c r="A262" i="1" s="1"/>
  <c r="L285" i="1"/>
  <c r="I285" i="1" s="1"/>
  <c r="A285" i="1" s="1"/>
  <c r="I248" i="1"/>
  <c r="A248" i="1" s="1"/>
  <c r="L375" i="1"/>
  <c r="I375" i="1" s="1"/>
  <c r="L311" i="1"/>
  <c r="I311" i="1" s="1"/>
  <c r="A311" i="1" s="1"/>
  <c r="L385" i="1"/>
  <c r="I387" i="1"/>
  <c r="A387" i="1" s="1"/>
  <c r="I40" i="1"/>
  <c r="A40" i="1" s="1"/>
  <c r="L383" i="1"/>
  <c r="I383" i="1" s="1"/>
  <c r="A383" i="1" s="1"/>
  <c r="I384" i="1"/>
  <c r="A384" i="1" s="1"/>
  <c r="A381" i="1"/>
  <c r="I201" i="1"/>
  <c r="A201" i="1" s="1"/>
  <c r="I29" i="1"/>
  <c r="A29" i="1" s="1"/>
  <c r="L106" i="1"/>
  <c r="I106" i="1" s="1"/>
  <c r="A106" i="1" s="1"/>
  <c r="I254" i="1"/>
  <c r="A254" i="1" s="1"/>
  <c r="A172" i="1"/>
  <c r="L196" i="1"/>
  <c r="I196" i="1" s="1"/>
  <c r="A196" i="1" s="1"/>
  <c r="I314" i="1"/>
  <c r="A314" i="1" s="1"/>
  <c r="I386" i="1"/>
  <c r="A386" i="1" s="1"/>
  <c r="I266" i="1"/>
  <c r="A266" i="1" s="1"/>
  <c r="L108" i="1"/>
  <c r="I108" i="1" s="1"/>
  <c r="A108" i="1" s="1"/>
  <c r="I167" i="1"/>
  <c r="A167" i="1" s="1"/>
  <c r="I255" i="1"/>
  <c r="A255" i="1" s="1"/>
  <c r="I234" i="1"/>
  <c r="A234" i="1" s="1"/>
  <c r="I37" i="1"/>
  <c r="A37" i="1" s="1"/>
  <c r="I57" i="1"/>
  <c r="A57" i="1" s="1"/>
  <c r="I174" i="1"/>
  <c r="A174" i="1" s="1"/>
  <c r="L9" i="1"/>
  <c r="I9" i="1" s="1"/>
  <c r="A9" i="1" s="1"/>
  <c r="I224" i="1"/>
  <c r="A224" i="1" s="1"/>
  <c r="I388" i="1"/>
  <c r="A388" i="1" s="1"/>
  <c r="A4" i="1"/>
  <c r="I189" i="1"/>
  <c r="A189" i="1" s="1"/>
  <c r="I128" i="1"/>
  <c r="A128" i="1" s="1"/>
  <c r="I320" i="1"/>
  <c r="A320" i="1" s="1"/>
  <c r="L157" i="1"/>
  <c r="L154" i="1"/>
  <c r="I154" i="1" s="1"/>
  <c r="A87" i="1"/>
  <c r="L366" i="1"/>
  <c r="I366" i="1" s="1"/>
  <c r="L198" i="1"/>
  <c r="I198" i="1" s="1"/>
  <c r="A198" i="1" s="1"/>
  <c r="L124" i="1"/>
  <c r="I124" i="1" s="1"/>
  <c r="L306" i="1"/>
  <c r="I306" i="1" s="1"/>
  <c r="L190" i="1"/>
  <c r="L244" i="1"/>
  <c r="I244" i="1" s="1"/>
  <c r="A244" i="1" s="1"/>
  <c r="L278" i="1"/>
  <c r="I278" i="1" s="1"/>
  <c r="A278" i="1" s="1"/>
  <c r="L89" i="1"/>
  <c r="I89" i="1" s="1"/>
  <c r="L372" i="1"/>
  <c r="I372" i="1" s="1"/>
  <c r="A354" i="1"/>
  <c r="A379" i="1"/>
  <c r="A318" i="1"/>
  <c r="A114" i="1"/>
  <c r="A136" i="1"/>
  <c r="A19" i="1"/>
  <c r="A319" i="1"/>
  <c r="A91" i="1"/>
  <c r="A202" i="1"/>
  <c r="A313" i="1"/>
  <c r="A158" i="1"/>
  <c r="A180" i="1"/>
  <c r="A113" i="1"/>
  <c r="A69" i="1"/>
  <c r="A92" i="1"/>
  <c r="A166" i="1"/>
  <c r="A68" i="1"/>
  <c r="A43" i="1"/>
  <c r="A90" i="1"/>
  <c r="A280" i="1"/>
  <c r="A291" i="1"/>
  <c r="A135" i="1"/>
  <c r="A112" i="1"/>
  <c r="A267" i="1"/>
  <c r="A93" i="1"/>
  <c r="A150" i="1"/>
  <c r="A203" i="1"/>
  <c r="A377" i="1"/>
  <c r="A70" i="1"/>
  <c r="A312" i="1"/>
  <c r="A49" i="1"/>
  <c r="A269" i="1"/>
  <c r="A115" i="1"/>
  <c r="A258" i="1"/>
  <c r="A317" i="1"/>
  <c r="A26" i="1"/>
  <c r="A179" i="1"/>
  <c r="A88" i="1"/>
  <c r="A334" i="1"/>
  <c r="A357" i="1"/>
  <c r="A178" i="1"/>
  <c r="A159" i="1"/>
  <c r="A66" i="1"/>
  <c r="A356" i="1"/>
  <c r="A48" i="1"/>
  <c r="A25" i="1"/>
  <c r="A225" i="1"/>
  <c r="A181" i="1"/>
  <c r="A375" i="1" l="1"/>
  <c r="A374" i="1"/>
  <c r="A306" i="1"/>
  <c r="A372" i="1"/>
  <c r="A154" i="1"/>
  <c r="A190" i="1"/>
  <c r="A309" i="1"/>
  <c r="I385" i="1"/>
  <c r="A385" i="1" s="1"/>
  <c r="A124" i="1"/>
  <c r="A89" i="1"/>
  <c r="A153" i="1"/>
  <c r="A366" i="1"/>
  <c r="I241" i="1"/>
  <c r="A241" i="1" s="1"/>
  <c r="I157" i="1"/>
  <c r="A157" i="1" s="1"/>
</calcChain>
</file>

<file path=xl/sharedStrings.xml><?xml version="1.0" encoding="utf-8"?>
<sst xmlns="http://schemas.openxmlformats.org/spreadsheetml/2006/main" count="8523" uniqueCount="3541">
  <si>
    <t>고정 축일</t>
  </si>
  <si>
    <t>이동 축일</t>
  </si>
  <si>
    <t>날짜</t>
  </si>
  <si>
    <t>등급</t>
  </si>
  <si>
    <t>nomen diei</t>
  </si>
  <si>
    <t>전례일 이름</t>
  </si>
  <si>
    <t>Ss.mi Nominis Iesu</t>
  </si>
  <si>
    <t>Sollemnitas</t>
  </si>
  <si>
    <t>Memoria</t>
  </si>
  <si>
    <t>ad libitum</t>
  </si>
  <si>
    <t>IN EPIPHANIA DOMINI</t>
  </si>
  <si>
    <t>S. Raimundi de Penyafort, presbyteri</t>
  </si>
  <si>
    <t>S. Hilarii, episcopi et Ecclesiæ doctoris</t>
  </si>
  <si>
    <t>S. Antonii, abbatis</t>
  </si>
  <si>
    <t>S. Fabiani, papæ et martyris</t>
  </si>
  <si>
    <t>S. Sebastiani, martyris</t>
  </si>
  <si>
    <t>S. Agnetis, virginis et martyris</t>
  </si>
  <si>
    <t>S. Vincentii, diaconi et martyris</t>
  </si>
  <si>
    <t>S. Francisci de Sales, episcopi et Ecclesiæ doctoris</t>
  </si>
  <si>
    <t>In Conversione S. Pauli, apostoli</t>
  </si>
  <si>
    <t>Festum</t>
  </si>
  <si>
    <t>등급 번호</t>
  </si>
  <si>
    <t>Ss. Timothei et Titi, episcoporum</t>
  </si>
  <si>
    <t>S. Angelæ Merici, virginis</t>
  </si>
  <si>
    <t>S. Thomæ de Aquino, presbyteri et Ecclesiæ doctoris</t>
  </si>
  <si>
    <t>Ss. Basilii Magni et Gregorii Nazianzeni, episcoporum et Ecclesiæ doctorum</t>
  </si>
  <si>
    <t>S. Ioannis Bosco, presbyteri</t>
  </si>
  <si>
    <t>IN PRÆSENTATIONE DOMINI</t>
  </si>
  <si>
    <t>S. Blasii, episcopi et martyris</t>
  </si>
  <si>
    <t>S. Ansgarii, episcopi</t>
  </si>
  <si>
    <t>S. Agathæ, virginis et martyris</t>
  </si>
  <si>
    <t>Ss. Pauli Miki et sociorum, martyrum</t>
  </si>
  <si>
    <t>S. Hieronymi Emiliani</t>
  </si>
  <si>
    <t>S. Iosephinæ Bakhita, virginis</t>
  </si>
  <si>
    <t>S. Scholasticæ, virginis</t>
  </si>
  <si>
    <t>B. Mariæ Virginis de Lourdes</t>
  </si>
  <si>
    <t>Ss. Cyrilli, monachi, et Methodii, episcopi</t>
  </si>
  <si>
    <t>Ss. septem Fundatorum Ordinis Servorum</t>
  </si>
  <si>
    <t>S. Petri Damiani, episcopi et Ecclesiæ doctoris</t>
  </si>
  <si>
    <t>Cathedræ S. Petri, apostoli</t>
  </si>
  <si>
    <t>S. Polycarpi, episcopi et martyris</t>
  </si>
  <si>
    <t>S. Casimiri</t>
  </si>
  <si>
    <t>Ss. Perpetuæ et Felicitatis, martyrum</t>
  </si>
  <si>
    <t>S. Ioannis a Deo, religiosi</t>
  </si>
  <si>
    <t>S. Franciscæ Romanæ, religiosæ</t>
  </si>
  <si>
    <t>S. Patricii, episcopi</t>
  </si>
  <si>
    <t>S. Cyrilli Hierosolymitani, episcopi et Ecclesiæ doctoris</t>
  </si>
  <si>
    <t>S. IOSEPH, SPONSI B. M. V.</t>
  </si>
  <si>
    <t>S. Turibii de Mogrovejo, episcopi</t>
  </si>
  <si>
    <t>IN ANNUNTIATIONE DOMINI</t>
  </si>
  <si>
    <t>S. Francisci de Paola, eremitæ</t>
  </si>
  <si>
    <t>S. Isidori, episcopi et Ecclesiæ doctoris</t>
  </si>
  <si>
    <t>S. Vincentii Ferrer, presbyteri</t>
  </si>
  <si>
    <t>S. Ioannis Baptistæ de la Salle, presbyteri</t>
  </si>
  <si>
    <t>S. Stanislai, episcopi et martyris</t>
  </si>
  <si>
    <t>S. Martini I, papæ et martyris</t>
  </si>
  <si>
    <t>S. Anselmi, episcopi et Ecclesiæ doctoris</t>
  </si>
  <si>
    <t>S. Georgii, martyris</t>
  </si>
  <si>
    <t>S. Adalberti, episcopi et martyris</t>
  </si>
  <si>
    <t>S. Fidelis de Sigmaringen, presbyteri et martyris</t>
  </si>
  <si>
    <t>S. Marci, evangelistæ</t>
  </si>
  <si>
    <t>S. Petri Chanel, presbyteri et martyris</t>
  </si>
  <si>
    <t>S. Ludovici Mariæ Grignion de Montfort, presbyteri</t>
  </si>
  <si>
    <t>S. Catharinæ Senensis, virginis et Ecclesiæ doctoris</t>
  </si>
  <si>
    <t>S. Pii V, papæ</t>
  </si>
  <si>
    <t>S. Ioseph Opificis</t>
  </si>
  <si>
    <t>S. Athanasii, episcopi et Ecclesiæ doctoris</t>
  </si>
  <si>
    <t>Ss. Philippi et Iacobi, apostolorum</t>
  </si>
  <si>
    <t>Ss. Nerei et Achillei, martyrum</t>
  </si>
  <si>
    <t>S. Pancratii, martyris</t>
  </si>
  <si>
    <t>B. Mariæ Virginis de Fatima</t>
  </si>
  <si>
    <t>S. Matthiæ, apostoli</t>
  </si>
  <si>
    <t>S. Ioannis I, papæ et martyris</t>
  </si>
  <si>
    <t>S. Bernardini Senensis, presbyteri</t>
  </si>
  <si>
    <t>Ss. Christophori Magallanes, presbyteri, et sociorum, martyrum</t>
  </si>
  <si>
    <t>S. Ritæ, de Cascia religiosæ</t>
  </si>
  <si>
    <t>S. Bedæ Venerabilis, presbyteri et Ecclesiæ doctoris</t>
  </si>
  <si>
    <t>S. Gregorii VII, papæ</t>
  </si>
  <si>
    <t>S. Mariæ Magdalenæ de’ Pazzi, virginis</t>
  </si>
  <si>
    <t>S. Philippi Neri, presbyteri</t>
  </si>
  <si>
    <t>S. Augustini Cantuariensis, episcopi</t>
  </si>
  <si>
    <t>In Visitatione B. Mariæ Virginis</t>
  </si>
  <si>
    <t>S. Iustini, martyris</t>
  </si>
  <si>
    <t>Ss. Marcellini et Petri, martyrum</t>
  </si>
  <si>
    <t>Ss. Caroli Lwanga et sociorum, martyrum</t>
  </si>
  <si>
    <t>S. Bonifatii, episcopi et martyris</t>
  </si>
  <si>
    <t>S. Norberti, episcopi</t>
  </si>
  <si>
    <t>S. Ephræm, diaconi et Ecclesiæ doctoris</t>
  </si>
  <si>
    <t>S. Barnabæ, apostoli</t>
  </si>
  <si>
    <t>S. Antonii de Padova, presbyteri et Ecclesiæ doctoris</t>
  </si>
  <si>
    <t>S. Romualdi, abbatis</t>
  </si>
  <si>
    <t>S. Aloisii Gonzaga, religiosi</t>
  </si>
  <si>
    <t>S. Paulini Nolani, episcopi</t>
  </si>
  <si>
    <t>Ss. Ioannis Fisher, episcopi, et Thomæ More, martyrum</t>
  </si>
  <si>
    <t>성 대 바실리오와 나지안조의 성 그레고리오 주교 학자 기념일</t>
  </si>
  <si>
    <t>지극히 거룩하신 예수 성명</t>
  </si>
  <si>
    <t>주님 공현</t>
  </si>
  <si>
    <t>페냐포르트의 성 라이문도 사제</t>
  </si>
  <si>
    <t>성 힐라리오 주교 학자</t>
  </si>
  <si>
    <t>성 안토니오 아빠스 기념일</t>
  </si>
  <si>
    <t>성 파비아노 교황 순교자</t>
  </si>
  <si>
    <t>성 세바스티아노 순교자</t>
  </si>
  <si>
    <t>성녀 아녜스 동정 순교자 기념일</t>
  </si>
  <si>
    <t>성 빈첸시오 부제 순교자</t>
  </si>
  <si>
    <t>성 프란치스코 살레시오 주교 학자 기념일</t>
  </si>
  <si>
    <t>성 바오로 사도의 회심 축일</t>
  </si>
  <si>
    <t>성 티모테오와 성 티토 주교 기념일</t>
  </si>
  <si>
    <t>성녀 안젤라 메리치 동정</t>
  </si>
  <si>
    <t>성 토마스 아퀴나스 사제 학자 기념일</t>
  </si>
  <si>
    <t>성 요한 보스코 사제 기념일</t>
  </si>
  <si>
    <t>주님 봉헌 축일</t>
  </si>
  <si>
    <t>성 블라시오 주교 순교자</t>
  </si>
  <si>
    <t>성 안스가리오 주교</t>
  </si>
  <si>
    <t>성녀 아가타 동정 순교자 기념일</t>
  </si>
  <si>
    <t>성 바오로 미키와 동료 순교자들 기념일</t>
  </si>
  <si>
    <t>성 예로니모 에밀리아니</t>
  </si>
  <si>
    <t>성녀 요세피나 바키타 동정</t>
  </si>
  <si>
    <t>성녀 스콜라스티카 동정 기념일</t>
  </si>
  <si>
    <t>루르드의 복되신 동정 마리아</t>
  </si>
  <si>
    <t>성 치릴로 수도자와 성 메토디오 주교 기념일</t>
  </si>
  <si>
    <t>마리아의 종 수도회 창설자 7성인</t>
  </si>
  <si>
    <t>성 베드로 다미아니 주교 학자</t>
  </si>
  <si>
    <t>성 베드로 사도좌 축일</t>
  </si>
  <si>
    <t>성 폴리카르포 주교 순교자 기념일</t>
  </si>
  <si>
    <t>성 가시미로</t>
  </si>
  <si>
    <t>성녀 페르페투아와 성녀 펠리치타 순교자 기념일</t>
  </si>
  <si>
    <t>천주의 성 요한 수도자</t>
  </si>
  <si>
    <t>로마의 성녀 프란치스카 수도자</t>
  </si>
  <si>
    <t>성 파트리치오 주교</t>
  </si>
  <si>
    <t>예루살렘의 성 치릴로 주교 학자</t>
  </si>
  <si>
    <t>복되신 동정 마리아의 배필 성 요셉 대축일</t>
  </si>
  <si>
    <t>성 투리비오 데 모그로베호 주교</t>
  </si>
  <si>
    <t>주님 탄생 예고 대축일</t>
  </si>
  <si>
    <t>파올라의 성 프란치스코 은수자</t>
  </si>
  <si>
    <t>성 이시도로 주교 학자</t>
  </si>
  <si>
    <t>성 빈첸시오 페레르 사제</t>
  </si>
  <si>
    <t>성 요한 밥티스타 드 라 살 사제 기념일</t>
  </si>
  <si>
    <t>성 스타니슬라오 주교 순교자 기념일</t>
  </si>
  <si>
    <t>성 마르티노 1세 교황 순교자</t>
  </si>
  <si>
    <t>성 안셀모 주교 학자</t>
  </si>
  <si>
    <t>성 제오르지오 순교자</t>
  </si>
  <si>
    <t>성 아달베르트 주교 순교자</t>
  </si>
  <si>
    <t>식마린겐의 성 피델리스 사제 순교자</t>
  </si>
  <si>
    <t>성 마르코 복음사가 축일</t>
  </si>
  <si>
    <t>성 베드로 샤넬 사제 순교자</t>
  </si>
  <si>
    <t>성 루도비코 마리아 그리뇽 드 몽포르 사제</t>
  </si>
  <si>
    <t>시에나의 성녀 가타리나 동정 학자 기념일</t>
  </si>
  <si>
    <t>성 비오 5세 교황</t>
  </si>
  <si>
    <t>노동자 성 요셉</t>
  </si>
  <si>
    <t>성 아타나시오 주교 학자 기념일</t>
  </si>
  <si>
    <t>성 필립보와 성 야고보 사도 축일</t>
  </si>
  <si>
    <t>성 네레오와 성 아킬레오 순교자</t>
  </si>
  <si>
    <t>성 판크라시오 순교자</t>
  </si>
  <si>
    <t>파티마의 복되신 동정 마리아</t>
  </si>
  <si>
    <t>성 마티아 사도 축일</t>
  </si>
  <si>
    <t>성 요한 1세 교황 순교자</t>
  </si>
  <si>
    <t>시에나의 성 베르나르디노 사제</t>
  </si>
  <si>
    <t>성 크리스토포로 마가야네스 사제와 동료 순교자들</t>
  </si>
  <si>
    <t>카시아의 성녀 리타 수도자</t>
  </si>
  <si>
    <t>성 베다 사제 학자</t>
  </si>
  <si>
    <t>성 그레고리오 7세 교황</t>
  </si>
  <si>
    <t>성녀 마리아 막달레나 데 파치 동정</t>
  </si>
  <si>
    <t>성 필립보 네리 사제 기념일</t>
  </si>
  <si>
    <t>캔터베리의 성 아우구스티노 주교</t>
  </si>
  <si>
    <t>복자 윤지충 바오로와 동료 순교자들</t>
  </si>
  <si>
    <t>복되신 동정 마리아의 방문 축일</t>
  </si>
  <si>
    <t>성 유스티노 순교자 기념일</t>
  </si>
  <si>
    <t>성 마르첼리노와 성 베드로 순교자</t>
  </si>
  <si>
    <t>성 가롤로 르왕가와 동료 순교자들 기념일</t>
  </si>
  <si>
    <t>성 보니파시오 주교 순교자 기념일</t>
  </si>
  <si>
    <t>성 노르베르토 주교</t>
  </si>
  <si>
    <t>성 에프렘 부제 학자</t>
  </si>
  <si>
    <t>성 바르나바 사도 기념일</t>
  </si>
  <si>
    <t>파도바의 성 안토니오 사제 학자 기념일</t>
  </si>
  <si>
    <t>성 로무알도 아빠스</t>
  </si>
  <si>
    <t>성 알로이시오 곤자가 수도자 기념일</t>
  </si>
  <si>
    <t>놀라의 성 바울리노 주교</t>
  </si>
  <si>
    <t>성 요한 피셔 주교와 성 토마스 모어 순교자</t>
  </si>
  <si>
    <t>성 요한 세례자 탄생 대축일</t>
  </si>
  <si>
    <t>알렉산드리아의 성 치릴로 주교 학자</t>
  </si>
  <si>
    <t>성 베드로와 성 바오로 사도 대축일</t>
  </si>
  <si>
    <t>로마 교회의 초기 순교자들</t>
  </si>
  <si>
    <t>IN NATIVITATE S. IOANNIS BAPTISTÆ</t>
  </si>
  <si>
    <t>S. Cyrilli Alexandrini, episcopi et Ecclesiæ doctoris</t>
  </si>
  <si>
    <t>Ss. PETRI ET PAULI, APOSTOLORUM</t>
  </si>
  <si>
    <t>Ss. Protomartyrum S. Romanæ Ecclesiæ</t>
  </si>
  <si>
    <t>S. Thomæ, apostoli</t>
  </si>
  <si>
    <t>S. Elisabeth Lusitaniæ</t>
  </si>
  <si>
    <t>S. Antonii Mariæ Zaccaria, presbyteri</t>
  </si>
  <si>
    <t>S. Mariæ Goretti, virginis et martyris</t>
  </si>
  <si>
    <t>Ss. Augustini Zhao Rong, presbyteri, et sociorum, martyrum</t>
  </si>
  <si>
    <t>S. Benedicti, abbatis</t>
  </si>
  <si>
    <t>S. Henrici</t>
  </si>
  <si>
    <t>S. Camilli de Lellis, presbyteri</t>
  </si>
  <si>
    <t>S. Bonaventuræ, episcopi et Ecclesiæ doctoris</t>
  </si>
  <si>
    <t>B. Mariæ Virginis de Monte Carmelo</t>
  </si>
  <si>
    <t>S. Apollinaris, episcopi et martyris</t>
  </si>
  <si>
    <t>S. Laurentii de Brindisi, presbyteri et Ecclesiæ doctoris</t>
  </si>
  <si>
    <t>S. Mariæ Magdalenæ</t>
  </si>
  <si>
    <t>S. Birgittæ, religiosæ</t>
  </si>
  <si>
    <t>S. Sarbelii Makhluof, presbyteri</t>
  </si>
  <si>
    <t>S. Iacobi, apostoli</t>
  </si>
  <si>
    <t>Ss. Ioachim et Annæ, parentum B.M.V.</t>
  </si>
  <si>
    <t>S. Petri Chrysologi, episcopi et Ecclesiæ doctoris</t>
  </si>
  <si>
    <t>S. Ignatii de Loyola, presbyteri</t>
  </si>
  <si>
    <t xml:space="preserve">S. Alfonsi Mariæ de’ Liguori, episcopi et Ecclesiæ doctoris </t>
  </si>
  <si>
    <t>S. Eusebii Vercellensis, episcopi</t>
  </si>
  <si>
    <t>S. Petri Iuliani Eymard, presbyteri</t>
  </si>
  <si>
    <t>S. Ioannis Mariæ Vianney, presbyteri</t>
  </si>
  <si>
    <t>In Dedicatione basilicæ S. Mariæ</t>
  </si>
  <si>
    <t>In Transfiguratione Domini</t>
  </si>
  <si>
    <t>Ss. Xysti II, papæ, et sociorum, martyrum</t>
  </si>
  <si>
    <t>S. Caietani, presbyteri</t>
  </si>
  <si>
    <t>S. Dominici, presbyteri</t>
  </si>
  <si>
    <t>S. Teresiæ Benedictæ a Cruce, virginis et martyris</t>
  </si>
  <si>
    <t>S. Laurentii, diaconi et martyris</t>
  </si>
  <si>
    <t>S. Claræ, virginis</t>
  </si>
  <si>
    <t>S. Ioannæ Franciscæ de Chantal, religiosæ</t>
  </si>
  <si>
    <t>Ss. Pontiani, papæ, et Hippolyti, presbyteri, martyrum</t>
  </si>
  <si>
    <t>S. Maximiliani Mariæ Kolbe, presbyteri et martyris</t>
  </si>
  <si>
    <t xml:space="preserve">IN ASSUMPTIONE BEATÆ MARIÆ VIRGINIS </t>
  </si>
  <si>
    <t>S. Stephani Hungariæ</t>
  </si>
  <si>
    <t>S. Ioannis Eudes, presbyteri</t>
  </si>
  <si>
    <t xml:space="preserve">S. Bernardi, abbatis et Ecclesiæ doctoris </t>
  </si>
  <si>
    <t xml:space="preserve">S. Pii X, papæ </t>
  </si>
  <si>
    <t xml:space="preserve">B. Mariæ Virginis Reginæ </t>
  </si>
  <si>
    <t>S. Rosæ de Lima, virginis</t>
  </si>
  <si>
    <t xml:space="preserve">S. Bartholomæi, apostoli </t>
  </si>
  <si>
    <t>S. Ludovici</t>
  </si>
  <si>
    <t>S. Iosephi de Calasanz, presbyteri</t>
  </si>
  <si>
    <t xml:space="preserve">S. Monicæ </t>
  </si>
  <si>
    <t xml:space="preserve">S. Augustini, episcopi et Ecclesiæ doctoris </t>
  </si>
  <si>
    <t xml:space="preserve">In Passione S. Ioannis Baptistæ, martyris </t>
  </si>
  <si>
    <t>S. Gregorii Magni, papæ et Ecclesiæ doctoris</t>
  </si>
  <si>
    <t>In Nativitate B. Mariæ Virginis</t>
  </si>
  <si>
    <t>S. Petri Claver, presbyteri</t>
  </si>
  <si>
    <t>Ss.mi Nominis Mariæ</t>
  </si>
  <si>
    <t xml:space="preserve">S. Ioannis Chrysostomi, episcopi et Ecclesiæ doctoris </t>
  </si>
  <si>
    <t xml:space="preserve">In Exaltatione sanctæ Crucis </t>
  </si>
  <si>
    <t xml:space="preserve">B. Mariæ Virginis Perdolentis </t>
  </si>
  <si>
    <t xml:space="preserve">Ss. Cornelii, papæ, et Cypriani, episcopi, martyrum </t>
  </si>
  <si>
    <t>S. Roberti Bellarmino, episcopi et Ecclesiæ doctoris</t>
  </si>
  <si>
    <t>S. Ianuarii, episcopi et martyris</t>
  </si>
  <si>
    <t>S. Matthæi, apostoli et evangelistæ</t>
  </si>
  <si>
    <t>Ss. Cosmæ et Damiani, martyrum</t>
  </si>
  <si>
    <t>S. Vincentii de Paul, presbyteri</t>
  </si>
  <si>
    <t>S. Venceslai, martyris</t>
  </si>
  <si>
    <t>Ss. Laurentii Ruiz et sociorum, martyrum</t>
  </si>
  <si>
    <t>Ss. Michaelis, Gabrielis et Raphaelis, archangelorum</t>
  </si>
  <si>
    <t>S. Hieronymi, presbyteri et Ecclesiæ doctoris</t>
  </si>
  <si>
    <t xml:space="preserve">S. Teresiæ a Iesu Infante, virginis et Ecclesiæ doctoris </t>
  </si>
  <si>
    <t xml:space="preserve">Ss. Angelorum Custodum </t>
  </si>
  <si>
    <t>S. Francisci Assisiensis</t>
  </si>
  <si>
    <t>S. Brunonis, presbyteri</t>
  </si>
  <si>
    <t>B. Mariæ Virginis a Rosario</t>
  </si>
  <si>
    <t>Ss. Dionysii, episcopi, et sociorum, martyrum</t>
  </si>
  <si>
    <t>S. Ioannis Leonardi, presbyteri</t>
  </si>
  <si>
    <t>S. Callisti I, papæ et martyris</t>
  </si>
  <si>
    <t>S. Teresiæ a Iesu, virginis et Ecclesiæ doctoris</t>
  </si>
  <si>
    <t>S. Hedvigis, religiosæ</t>
  </si>
  <si>
    <t>S. Margaritæ Mariæ Alacoque, virginis</t>
  </si>
  <si>
    <t>S. Ignatii Antiocheni, episcopi et martyris</t>
  </si>
  <si>
    <t>S. Lucæ, evangelistæ</t>
  </si>
  <si>
    <t>Ss. Ioannis de Brébeuf et Isaac Jogues, presbyterorum, et sociorum, martyrum</t>
  </si>
  <si>
    <t>S. Pauli a Cruce, presbyteri</t>
  </si>
  <si>
    <t>S. Ioannis de Capestrano, presbyteri</t>
  </si>
  <si>
    <t>S. Antonii Mariæ Claret, episcopi</t>
  </si>
  <si>
    <t>Ss. Simonis et Iudæ, apostolorum</t>
  </si>
  <si>
    <t>OMNIUM SANCTORUM</t>
  </si>
  <si>
    <t>IN COMMEMORATIONE OMNIUM FIDELIUM DEFUNCTORUM</t>
  </si>
  <si>
    <t>S. Martini de Porres, religiosi</t>
  </si>
  <si>
    <t>S. Caroli Borromeo, episcopi</t>
  </si>
  <si>
    <t xml:space="preserve">In Dedicatione basilicæ Lateranensis </t>
  </si>
  <si>
    <t>S. Leonis Magni, papæ et Ecclesiæ doctoris</t>
  </si>
  <si>
    <t>S. Martini Turonensis, episcopi</t>
  </si>
  <si>
    <t>S. Iosaphat, episcopi et martyris</t>
  </si>
  <si>
    <t>S. Alberti Magni, episcopi et Ecclesiæ doctoris</t>
  </si>
  <si>
    <t>S. Margaritæ Scotiæ</t>
  </si>
  <si>
    <t>S. Gertrudis, virginis</t>
  </si>
  <si>
    <t>S. Elisabeth Hungariæ, religiosæ</t>
  </si>
  <si>
    <t>In Dedicatione basilicarum Ss. Petri et Pauli, apostolorum</t>
  </si>
  <si>
    <t>In Præsentatione B. Mariæ Virginis</t>
  </si>
  <si>
    <t>S. Cæciliæ, virginis et martyris</t>
  </si>
  <si>
    <t>S. Clementis I, papæ et martyris</t>
  </si>
  <si>
    <t>S. Columbani, abbatis</t>
  </si>
  <si>
    <t>Ss. Andreæ Kim Tæ-gŏn, presbyteri, et Pauli Chŏng Ha-sang, et sociorum, martyrum</t>
  </si>
  <si>
    <t>Ss. Andreæ Dũng Lac, presbyteri, et sociorum, martyrum</t>
  </si>
  <si>
    <t>S. Catharinæ Alexandrinæ, virginis et martyris</t>
  </si>
  <si>
    <t xml:space="preserve">S. Andreæ, apostoli </t>
  </si>
  <si>
    <t>S. Francisci Xavier, presbyteri</t>
  </si>
  <si>
    <t>S. Ioannis Damasceni, presbyteri et Ecclesiæ doctoris</t>
  </si>
  <si>
    <t>S. Nicolai, episcopi</t>
  </si>
  <si>
    <t>S. Ambrosii, episcopi et Ecclesiæ doctoris</t>
  </si>
  <si>
    <t>IN CONCEPTIONE IMMACULATA BEATÆ MARIÆ VIRGINIS</t>
  </si>
  <si>
    <t>S. Damasi I, papæ</t>
  </si>
  <si>
    <t>S. Luciæ, virginis et martyris</t>
  </si>
  <si>
    <t>S. Ioannis a Cruce, presbyteri et Ecclesiæ doctoris</t>
  </si>
  <si>
    <t>S. Petri Canisii, presbyteri et Ecclesiæ doctoris</t>
  </si>
  <si>
    <t>S. Ioannis de Kęty, presbyteri</t>
  </si>
  <si>
    <t>IN NATIVITATE DOMINI</t>
  </si>
  <si>
    <t>S. Stephani, protomartyris</t>
  </si>
  <si>
    <t>S. Ioannis, apostoli et evangelistæ</t>
  </si>
  <si>
    <t>Ss. Innocentium, martyrum</t>
  </si>
  <si>
    <t>S. Thomæ Becket, episcopi et martyris</t>
  </si>
  <si>
    <t>S. Silvestri I, papæ</t>
  </si>
  <si>
    <t>성 토마스 사도 축일</t>
  </si>
  <si>
    <t>포르투갈의 성녀 엘리사벳</t>
  </si>
  <si>
    <t>성 안토니오 마리아 즈카르야 사제</t>
  </si>
  <si>
    <t>성녀 마리아 고레티 동정 순교자</t>
  </si>
  <si>
    <t>성 아우구스티노 자오룽 사제와 동료 순교자들</t>
  </si>
  <si>
    <t>성 베네딕토 아빠스 기념일</t>
  </si>
  <si>
    <t>성 헨리코</t>
  </si>
  <si>
    <t>성 가밀로 데 렐리스 사제</t>
  </si>
  <si>
    <t>성 보나벤투라 주교 학자 기념일</t>
  </si>
  <si>
    <t>카르멜 산의 복되신 동정 마리아</t>
  </si>
  <si>
    <t>성 아폴리나리스 주교 순교자</t>
  </si>
  <si>
    <t>브린디시의 성 라우렌시오 사제 학자</t>
  </si>
  <si>
    <t>성녀 마리아 막달레나 축일</t>
  </si>
  <si>
    <t>성녀 비르지타 수도자</t>
  </si>
  <si>
    <t>성 사르벨리오 마클루프 사제</t>
  </si>
  <si>
    <t>성 야고보 사도 축일</t>
  </si>
  <si>
    <t>복되신 동정 마리아의 부모 성 요아킴과 성녀 안나 기념일</t>
  </si>
  <si>
    <t>성 베드로 크리솔로고 주교 학자</t>
  </si>
  <si>
    <t>성 이냐시오 데 로욜라 사제 기념일</t>
  </si>
  <si>
    <t>성 알폰소 마리아 데 리구오리 주교 학자 기념일</t>
  </si>
  <si>
    <t>베르첼리의 성 에우세비오 주교</t>
  </si>
  <si>
    <t>성 베드로 율리아노 예마르 사제</t>
  </si>
  <si>
    <t>성 요한 마리아 비안네 사제 기념일</t>
  </si>
  <si>
    <t>성모 대성전 봉헌</t>
  </si>
  <si>
    <t>주님의 거룩한 변모 축일</t>
  </si>
  <si>
    <t>성 식스토 2세 교황과 동료 순교자들</t>
  </si>
  <si>
    <t>성 가예타노 사제</t>
  </si>
  <si>
    <t>성 도미니코 사제 기념일</t>
  </si>
  <si>
    <t>십자가의 성녀 데레사 베네딕타 동정 순교자</t>
  </si>
  <si>
    <t>성 라우렌시오 부제 순교자 축일</t>
  </si>
  <si>
    <t>성녀 클라라 동정 기념일</t>
  </si>
  <si>
    <t>성녀 요안나 프란치스카 드 샹탈 수도자</t>
  </si>
  <si>
    <t>성 폰시아노 교황과 성 히폴리토 사제 순교자</t>
  </si>
  <si>
    <t>성 막시밀리아노 마리아 콜베 사제 순교자 기념일</t>
  </si>
  <si>
    <t>성모 승천 대축일</t>
  </si>
  <si>
    <t>헝가리의 성 스테파노</t>
  </si>
  <si>
    <t>성 요한 외드 사제</t>
  </si>
  <si>
    <t>성 베르나르도 아빠스 학자 기념일</t>
  </si>
  <si>
    <t>성 비오 10세 교황 기념일</t>
  </si>
  <si>
    <t>복되신 동정 마리아 모후 기념일</t>
  </si>
  <si>
    <t>리마의 성녀 로사 동정</t>
  </si>
  <si>
    <t>성 바르톨로메오 사도 축일</t>
  </si>
  <si>
    <t>성 루도비코</t>
  </si>
  <si>
    <t>성 요셉 데 갈라산즈 사제</t>
  </si>
  <si>
    <t>성녀 모니카 기념일</t>
  </si>
  <si>
    <t>성 아우구스티노 주교 학자 기념일</t>
  </si>
  <si>
    <t>성 요한 세례자의 수난 기념일</t>
  </si>
  <si>
    <t>성 대 그레고리오 교황 학자 기념일</t>
  </si>
  <si>
    <t>복되신 동정 마리아 탄생 축일</t>
  </si>
  <si>
    <t>성 베드로 클라베르 사제</t>
  </si>
  <si>
    <t>지극히 거룩하신 마리아 성명</t>
  </si>
  <si>
    <t>성 요한 크리소스토모 주교 학자 기념일</t>
  </si>
  <si>
    <t>성 십자가 현양 축일</t>
  </si>
  <si>
    <t>고통의 성모 마리아 기념일</t>
  </si>
  <si>
    <t>성 고르넬리오 교황과 성 치프리아노 주교 순교자 기념일</t>
  </si>
  <si>
    <t>성 로베르토 벨라르미노 주교 학자</t>
  </si>
  <si>
    <t>성 야누아리오 주교 순교자</t>
  </si>
  <si>
    <t>성 김대건 안드레아 사제와 성 정하상 바오로와 동료 순교자들 대축일</t>
  </si>
  <si>
    <t>성 마태오 사도 복음사가 축일</t>
  </si>
  <si>
    <t>피에트렐치나의 성 비오 사제 기념일</t>
  </si>
  <si>
    <t>성 고스마와 성 다미아노 순교자</t>
  </si>
  <si>
    <t>성 빈첸시오 드 폴 사제 기념일</t>
  </si>
  <si>
    <t>성 벤체슬라오 순교자</t>
  </si>
  <si>
    <t>성 라우렌시오 루이스와 동료 순교자들</t>
  </si>
  <si>
    <t>성 미카엘, 성 가브리엘, 성 라파엘 대천사 축일</t>
  </si>
  <si>
    <t>성 예로니모 사제 학자 기념일</t>
  </si>
  <si>
    <t>S. Pii de Pietrelcina, presbyteri</t>
  </si>
  <si>
    <t>아기 예수의 성녀 데레사 동정 학자 기념일</t>
  </si>
  <si>
    <t>수호천사 기념일</t>
  </si>
  <si>
    <t>아시시의 성 프란치스코 기념일</t>
  </si>
  <si>
    <t>성 브루노 사제</t>
  </si>
  <si>
    <t>묵주 기도의 복되신 동정 마리아 기념일</t>
  </si>
  <si>
    <t>성 디오니시오 주교와 동료 순교자들</t>
  </si>
  <si>
    <t>성 요한 레오나르디 사제</t>
  </si>
  <si>
    <t>성 요한 23세 교황</t>
  </si>
  <si>
    <t>성 갈리스토 1세 교황 순교자</t>
  </si>
  <si>
    <t>예수의 성녀 데레사 동정 학자 기념일</t>
  </si>
  <si>
    <t>성녀 헤드비제스 수도자</t>
  </si>
  <si>
    <t>성녀 마르가리타 마리아 알라코크 동정</t>
  </si>
  <si>
    <t>안티오키아의 성 이냐시오 주교 순교자 기념일</t>
  </si>
  <si>
    <t>성 루카 복음사가 축일</t>
  </si>
  <si>
    <t>성 요한 드 브레뵈프, 성 이사악 조그 사제와 동료 순교자들</t>
  </si>
  <si>
    <t>십자가의 성 바오로 사제</t>
  </si>
  <si>
    <t>성 요한 바오로 2세 교황</t>
  </si>
  <si>
    <t>카페스트라노의 성 요한 사제</t>
  </si>
  <si>
    <t>성 안토니오 마리아 클라렛 주교</t>
  </si>
  <si>
    <t>성 시몬과 성 유다(타대오) 사도 축일</t>
  </si>
  <si>
    <t>S. Ioannis XXIII, papæ</t>
  </si>
  <si>
    <t>S. Ioannis Pauli II, papæ</t>
  </si>
  <si>
    <t>모든 성인 대축일</t>
  </si>
  <si>
    <t>죽은 모든 이를 기억하는 위령의 날</t>
  </si>
  <si>
    <t>성 마르티노 데 포레스 수도자</t>
  </si>
  <si>
    <t>성 가롤로 보로메오 주교 기념일</t>
  </si>
  <si>
    <t>라테라노 대성전 봉헌 축일</t>
  </si>
  <si>
    <t>성 대 레오 교황 학자 기념일</t>
  </si>
  <si>
    <t>투르의 성 마르티노 주교 기념일</t>
  </si>
  <si>
    <t>성 요사팟 주교 순교자 기념일</t>
  </si>
  <si>
    <t>성 대 알베르토 주교 학자</t>
  </si>
  <si>
    <t>스코틀랜드의 성녀 마르가리타</t>
  </si>
  <si>
    <t>성녀 제르트루다 동정</t>
  </si>
  <si>
    <t>헝가리의 성녀 엘리사벳 수도자 기념일</t>
  </si>
  <si>
    <t>성 베드로 대성전과 성 바오로 대성전 봉헌</t>
  </si>
  <si>
    <t>복되신 동정 마리아의 자헌 기념일</t>
  </si>
  <si>
    <t>성녀 체칠리아 동정 순교자 기념일</t>
  </si>
  <si>
    <t>성 클레멘스 1세 교황 순교자</t>
  </si>
  <si>
    <t>성 골룸바노 아빠스</t>
  </si>
  <si>
    <t>성 안드레아 둥락 사제와 동료 순교자들 기념일</t>
  </si>
  <si>
    <t>알렉산드리아의 성녀 가타리나 동정 순교자</t>
  </si>
  <si>
    <t>성 안드레아 사도 축일</t>
  </si>
  <si>
    <t>성 프란치스코 하비에르 사제 기념일</t>
  </si>
  <si>
    <t>다마스쿠스의 성 요한 사제 학자</t>
  </si>
  <si>
    <t>성 니콜라오 주교</t>
  </si>
  <si>
    <t>성 암브로시오 주교 학자 기념일</t>
  </si>
  <si>
    <t>한국 교회의 수호자, 원죄 없이 잉태되신 복되신 동정 마리아 대축일</t>
  </si>
  <si>
    <t>성 다마소 1세 교황</t>
  </si>
  <si>
    <t>과달루페의 복되신 동정 마리아</t>
  </si>
  <si>
    <t>성녀 루치아 동정 순교자 기념일</t>
  </si>
  <si>
    <t>십자가의 성 요한 사제 학자 기념일</t>
  </si>
  <si>
    <t>성 베드로 가니시오 사제 학자</t>
  </si>
  <si>
    <t>켕티의 성 요한 사제</t>
  </si>
  <si>
    <t>주님 성탄 대축일</t>
  </si>
  <si>
    <t>성 스테파노 첫 순교자 축일</t>
  </si>
  <si>
    <t>성 요한 사도 복음사가 축일</t>
  </si>
  <si>
    <t>죄 없는 아기 순교자들 축일</t>
  </si>
  <si>
    <t>성 토마스 베케트 주교 순교자</t>
  </si>
  <si>
    <t>성 실베스테르 1세 교황</t>
  </si>
  <si>
    <t>B. Mariæ Virginis de Guadalupe</t>
  </si>
  <si>
    <t>SANCTÆ DEI GENETRICIS MARIÆ</t>
  </si>
  <si>
    <t>S. Gregorii Narecensis, abbatis et Ecclesiæ doctoris</t>
  </si>
  <si>
    <t>2021-1-25 Franciscus PP.</t>
  </si>
  <si>
    <t>S. Ioannis de Avila, presbyteri et Ecclesiæ doctoris</t>
  </si>
  <si>
    <t>S. Pauli VI, papæ</t>
  </si>
  <si>
    <t>2019-1-25 Franciscus PP.</t>
  </si>
  <si>
    <t>S. Irenæi, episcopi, martyris et Ecclesiæ doctoris</t>
  </si>
  <si>
    <t>성 이레네오 주교 학자 순교자 기념일</t>
  </si>
  <si>
    <t>2022-1-21 Franciscus PP.</t>
  </si>
  <si>
    <t>2016-6-3 Franciscus PP.</t>
  </si>
  <si>
    <t>Ss. Marthæ, Mariæ et Lazari</t>
  </si>
  <si>
    <t>성녀 마르타와 성녀 마리아와 성 라자로 기념일</t>
  </si>
  <si>
    <t>2021-1-26 Franciscus PP.</t>
  </si>
  <si>
    <t>2025-2-11 Franciscus PP.</t>
  </si>
  <si>
    <t>S. Faustinæ Kowalska, virginis</t>
  </si>
  <si>
    <t>2020-5-18 Franciscus PP.</t>
  </si>
  <si>
    <t>2014-5-29 Franciscus PP.</t>
  </si>
  <si>
    <t>2019-10-31 Franciscus PP.</t>
  </si>
  <si>
    <t>B. Mariæ Virginis de Loreto</t>
  </si>
  <si>
    <t>나렉의 성 그레고리오 아빠스 학자</t>
  </si>
  <si>
    <t>아빌라의 성 요한 사제 학자</t>
  </si>
  <si>
    <t>빙겐의 성녀 힐데가르트 동정 학자</t>
  </si>
  <si>
    <t>성 바오로 6세 교황</t>
  </si>
  <si>
    <t>캘커타의 성녀 데레사 동정</t>
  </si>
  <si>
    <t>성녀 파우스티나 코발스카 동정</t>
  </si>
  <si>
    <t>로레토의 복되신 동정 마리아</t>
  </si>
  <si>
    <t>변동사항</t>
  </si>
  <si>
    <t>031</t>
  </si>
  <si>
    <t>021</t>
  </si>
  <si>
    <t>032</t>
  </si>
  <si>
    <t>051</t>
  </si>
  <si>
    <t>071</t>
  </si>
  <si>
    <t>성탄 팔일 축제 제5일</t>
  </si>
  <si>
    <t>성탄 팔일 축제 제6일</t>
  </si>
  <si>
    <t>성탄 팔일 축제 제7일</t>
  </si>
  <si>
    <t>092</t>
  </si>
  <si>
    <t>De VI die infra octavam Nativitatis</t>
  </si>
  <si>
    <t>De VII die infra octavam Nativitatis</t>
  </si>
  <si>
    <t>De V die infra octavam Nativitatis</t>
  </si>
  <si>
    <t>121</t>
  </si>
  <si>
    <t>조건</t>
  </si>
  <si>
    <t>원죄 없이 잉태되신 복되신 동정 마리아 대축일</t>
  </si>
  <si>
    <t>성 김대건 안드레아 사제와 성 정하상 바오로와 동료 순교자들 기념일</t>
  </si>
  <si>
    <t>기념일 --&gt; 대축일</t>
  </si>
  <si>
    <t>이름에 수식어 추가</t>
  </si>
  <si>
    <t>선택 기념일 추가</t>
  </si>
  <si>
    <t>민족의 화해와 일치를 위한 미사</t>
  </si>
  <si>
    <t>기원 미사</t>
  </si>
  <si>
    <t>한국 성직자들의 수호자 성 김대건 안드레아 사제 순교자</t>
  </si>
  <si>
    <t>신심 미사</t>
  </si>
  <si>
    <t>음력 1월 1일</t>
  </si>
  <si>
    <t>설</t>
  </si>
  <si>
    <t>음력 8월 15일</t>
  </si>
  <si>
    <t>한가위</t>
  </si>
  <si>
    <t>045</t>
  </si>
  <si>
    <t>S. Andreae Kim Tae-gon, presbyteri et martyris, patroni clericorum Coreanorum</t>
  </si>
  <si>
    <t>Missa pro reconciliatione et unitate gentis Coreanae</t>
  </si>
  <si>
    <t>011</t>
  </si>
  <si>
    <t>주님 부활 대축일</t>
  </si>
  <si>
    <t>주님 만찬 성목요일</t>
  </si>
  <si>
    <t>주님 수난 성금요일</t>
  </si>
  <si>
    <t>성토요일</t>
  </si>
  <si>
    <t>주님 승천</t>
  </si>
  <si>
    <t>성령 강림</t>
  </si>
  <si>
    <t>대림 시기 주일</t>
  </si>
  <si>
    <t>사순 시기 주일</t>
  </si>
  <si>
    <t>부활 시기 주일</t>
  </si>
  <si>
    <t>재의 수요일</t>
  </si>
  <si>
    <t>성주간 월요일</t>
  </si>
  <si>
    <t>성주간 화요일</t>
  </si>
  <si>
    <t>성주간 수요일</t>
  </si>
  <si>
    <t>성주간 목요일</t>
  </si>
  <si>
    <t>022</t>
  </si>
  <si>
    <t>023</t>
  </si>
  <si>
    <t>024</t>
  </si>
  <si>
    <t>020</t>
  </si>
  <si>
    <t>지극히 거룩하신 삼위일체 대축일</t>
  </si>
  <si>
    <t>지극히 거룩하신 그리스도의 성체 성혈 대축일</t>
  </si>
  <si>
    <t>지극히 거룩하신 예수 성심 대축일</t>
  </si>
  <si>
    <t>온 누리의 임금이신 우리 주 예수 그리스도 왕 대축일</t>
  </si>
  <si>
    <t>주님 세례 축일</t>
  </si>
  <si>
    <t>예수, 마리아, 요셉의 성가정 축일</t>
  </si>
  <si>
    <t>연중 시기 주일</t>
  </si>
  <si>
    <t>061</t>
  </si>
  <si>
    <t>12월 17일</t>
  </si>
  <si>
    <t>12월 18일</t>
  </si>
  <si>
    <t>12월 19일</t>
  </si>
  <si>
    <t>12월 20일</t>
  </si>
  <si>
    <t>12월 21일</t>
  </si>
  <si>
    <t>12월 22일</t>
  </si>
  <si>
    <t>12월 23일</t>
  </si>
  <si>
    <t>12월 24일</t>
  </si>
  <si>
    <t>091</t>
  </si>
  <si>
    <t>Die 17 Decembris</t>
  </si>
  <si>
    <t>Die 18 Decembris</t>
  </si>
  <si>
    <t>Die 19 Decembris</t>
  </si>
  <si>
    <t>Die 20 Decembris</t>
  </si>
  <si>
    <t>Die 22 Decembris</t>
  </si>
  <si>
    <t>Die 24 Decembris</t>
  </si>
  <si>
    <t>Die 21 Decembris</t>
  </si>
  <si>
    <t>Die 23 Decembris</t>
  </si>
  <si>
    <t>093</t>
  </si>
  <si>
    <t>사순 시기 평일</t>
  </si>
  <si>
    <t>101</t>
  </si>
  <si>
    <t>티 없이 깨끗하신 성모 성심 기념일</t>
  </si>
  <si>
    <t>131</t>
  </si>
  <si>
    <t>132</t>
  </si>
  <si>
    <t>133</t>
  </si>
  <si>
    <t>부활 시기 평일</t>
  </si>
  <si>
    <t>134</t>
  </si>
  <si>
    <t>연중 시기 평일</t>
  </si>
  <si>
    <t>춘분 후 만월 다음 일요일</t>
  </si>
  <si>
    <t>주님 부활 대축일 2일 전</t>
  </si>
  <si>
    <t>주님 부활 대축일 1일 전</t>
  </si>
  <si>
    <t>(의무) 주님 부활 대축일 다음 40일 / (의무 아닌 곳) 부활 제7주일</t>
  </si>
  <si>
    <t>(의무) 1월 6일 / (의무 아닌 곳) 1월 2일과 8일 사이에 오는 주일</t>
  </si>
  <si>
    <t>주님 부활 대축일 50일 후</t>
  </si>
  <si>
    <t>주님 성탄 대축일 전 4개 주간의 일요일</t>
  </si>
  <si>
    <t>주님 부활 대축일 전 6개 주간의 일요일</t>
  </si>
  <si>
    <t>주님 부활 대축일 후 6개 주간의 일요일</t>
  </si>
  <si>
    <t>주님 부활 대축일 46일 전</t>
  </si>
  <si>
    <t>주님 부활 대축일 6일 전</t>
  </si>
  <si>
    <t>주님 부활 대축일 5일 전</t>
  </si>
  <si>
    <t>주님 부활 대축일 4일 전</t>
  </si>
  <si>
    <t>주님 부활 대축일 3일 전 오후까지</t>
  </si>
  <si>
    <t>주님 부활 대축일 3일 전 저녁부터</t>
  </si>
  <si>
    <t>성령 강림 대축일 다음 주일</t>
  </si>
  <si>
    <t>(의무) 삼위일체 대축일 다음 목요일 / (의무 아닌 곳) 삼위일체 대축일 다음 주일</t>
  </si>
  <si>
    <t>성령 강림 대축일 후 둘째 주일 다음 금요일</t>
  </si>
  <si>
    <t>연중 제34주일</t>
  </si>
  <si>
    <t>(주님 공현이 1월 6일 이전에는) 1월 6일 다음 주일 / (주님 공현이 1월 7일 이후에는) 주님 공현 다음 월요일</t>
  </si>
  <si>
    <t>성탄 팔일 축제 주일, 또는 팔일 축제 안에 주일이 없으면 12월 30일</t>
  </si>
  <si>
    <t>1월 2일과 5일 사이에 오는 주일</t>
  </si>
  <si>
    <t>성탄 시기 주일 (성탄 후 제2주일)</t>
  </si>
  <si>
    <t>(첫째 시기) 주님 세례 축일 다음 주일부터 재의 수요일 3일 전까지
(둘째 시기) 성령 강림 대축일 후 둘째 주일부터 연중 제33주일까지</t>
  </si>
  <si>
    <t>재의 수요일 다음날부터 주님 수난 성지 주일 전날까지</t>
  </si>
  <si>
    <t>예수 성심 대축일 다음 날</t>
  </si>
  <si>
    <t>대림 제1주일 다음 날부터 12월 16일까지</t>
  </si>
  <si>
    <t>1월 2일부터 주님 공현 후 토요일까지</t>
  </si>
  <si>
    <t>대림 시기 평일</t>
  </si>
  <si>
    <t>성탄 시기 평일</t>
  </si>
  <si>
    <t>부활 제2주일 다음 날부터 성령 강림 전날까지</t>
  </si>
  <si>
    <t>나머지</t>
  </si>
  <si>
    <t>해시</t>
  </si>
  <si>
    <t>접두</t>
  </si>
  <si>
    <t>상세</t>
  </si>
  <si>
    <t>fix</t>
  </si>
  <si>
    <t>상세2</t>
  </si>
  <si>
    <t>상세3</t>
  </si>
  <si>
    <t>S. Teresiæ de Calcutta, virginis</t>
  </si>
  <si>
    <t>S. Hildegardis Bingensis, virginis et Ecclesiæ doctoris</t>
  </si>
  <si>
    <t>la_VA</t>
  </si>
  <si>
    <t>en_US</t>
  </si>
  <si>
    <t>ko_KR</t>
  </si>
  <si>
    <t>name of the day</t>
  </si>
  <si>
    <t>In octava Nativitatis SOLLEMNITAS SANCTÆ DEI GENETRICIS MARIÆ</t>
  </si>
  <si>
    <t>성탄 팔일 축제 제8일, 천주의 성모 마리아 대축일</t>
  </si>
  <si>
    <t>The Octave Day of the Nativity of the Lord: Solemnity of Mary, the Holy Mother of God</t>
  </si>
  <si>
    <t>Sts. Basil the Great and Gregory Nazianzen, Bishops and Doctors of the Church</t>
  </si>
  <si>
    <t>The Most Holy Name of Jesus</t>
  </si>
  <si>
    <t>The Epiphany of the Lord</t>
  </si>
  <si>
    <t>St. Raymond of Penyafort, Priest</t>
  </si>
  <si>
    <t>St. Hilary, Bishop and Doctor of the Church</t>
  </si>
  <si>
    <t>St. Anthony, Abbot</t>
  </si>
  <si>
    <t>St. Fabian, Pope and Martyr</t>
  </si>
  <si>
    <t>St. Sebastian, Martyr</t>
  </si>
  <si>
    <t xml:space="preserve">St. Agnes, Virgin and Martyr </t>
  </si>
  <si>
    <t>St. Vincent, Deacon and Martyr</t>
  </si>
  <si>
    <t>St. Francis de Sales, Bishop and Doctor of the Church</t>
  </si>
  <si>
    <t>The Conversion of St Paul the Apostle</t>
  </si>
  <si>
    <t>Sts. Timothy and Titus, Bishops</t>
  </si>
  <si>
    <t>St. Angela Merici, Virgin</t>
  </si>
  <si>
    <t>St. Thomas Aquinas, Priest and Doctor of the Church</t>
  </si>
  <si>
    <t>St. John Bosco, Priest</t>
  </si>
  <si>
    <t>The Baptism of the Lord</t>
  </si>
  <si>
    <t>The Presentation of the Lord</t>
  </si>
  <si>
    <t>St. Blaise, Bishop and Martyr</t>
  </si>
  <si>
    <t>St. Ansgar, Bishop</t>
  </si>
  <si>
    <t>St. Agatha, Virgin and Martyr</t>
  </si>
  <si>
    <t>St. Paul Miki and Companions, Martyrs</t>
  </si>
  <si>
    <t>St. Jerome Emiliani</t>
  </si>
  <si>
    <t>St. Josephine Bakhita, Virgin</t>
  </si>
  <si>
    <t>St. Scholastica, Virgin</t>
  </si>
  <si>
    <t>Our Lady of Lourdes</t>
  </si>
  <si>
    <t>Sts. Cyril, Monk, and Methodius, Bishop</t>
  </si>
  <si>
    <t>The Seven Holy Founders of the Servite Order</t>
  </si>
  <si>
    <t>St. Peter Damian, Bishop and Doctor of the Church</t>
  </si>
  <si>
    <t>The Chair of St. Peter the Apostle</t>
  </si>
  <si>
    <t>St. Polycarp, Bishop and Martyr</t>
  </si>
  <si>
    <t>St. Casimir</t>
  </si>
  <si>
    <t>Sts. Perpetua and Felicity, Martyrs</t>
  </si>
  <si>
    <t>St. John of God, Religious</t>
  </si>
  <si>
    <t>St. Frances of Rome, Religious</t>
  </si>
  <si>
    <t>St. Patrick, Bishop</t>
  </si>
  <si>
    <t>St. Cyril of Jerusalem, Bishop and Doctor of the Church</t>
  </si>
  <si>
    <t xml:space="preserve">St. Joseph, SPOUSE of the Blessed Virgin Mary </t>
  </si>
  <si>
    <t>St. Turibius of Mogrovejo, Bishop</t>
  </si>
  <si>
    <t>The Annunciation of the Lord</t>
  </si>
  <si>
    <t>St. Francis of Paola, Hermit</t>
  </si>
  <si>
    <t>St. Isidore, Bishop and Doctor of the Church</t>
  </si>
  <si>
    <t>St. Vincent Ferrer, Priest</t>
  </si>
  <si>
    <t>St. John Baptist de la Salle, Priest</t>
  </si>
  <si>
    <t>St. Stanislaus, Bishop and Martyr</t>
  </si>
  <si>
    <t>St. Martin I, Pope and Martyr</t>
  </si>
  <si>
    <t>St. Anselm, Bishop and Doctor of the Church</t>
  </si>
  <si>
    <t>St. George, Martyr</t>
  </si>
  <si>
    <t>St. Adalbert, Bishop and Martyr</t>
  </si>
  <si>
    <t>St. Fidelis of Sigmaringen, Priest and Martyr</t>
  </si>
  <si>
    <t>St. Mark, Evangelist</t>
  </si>
  <si>
    <t>St. Peter Chanel, Priest and Martyr</t>
  </si>
  <si>
    <t>St. Louis Grignion de Montfort, Priest</t>
  </si>
  <si>
    <t>St. Catherine of Siena, Virgin and Doctor of the Church</t>
  </si>
  <si>
    <t>St. Pius V, Pope</t>
  </si>
  <si>
    <t>St. Joseph the Worker</t>
  </si>
  <si>
    <t>St. Athanasius, Bishop and Doctor of the Church</t>
  </si>
  <si>
    <t>Sts. Philip and James, Apostles</t>
  </si>
  <si>
    <t>Sts. Nereus and Achilleus, Martyrs</t>
  </si>
  <si>
    <t>St. Pancras, Martyr</t>
  </si>
  <si>
    <t>Our Lady of Fatima</t>
  </si>
  <si>
    <t>St. Matthias, Apostle</t>
  </si>
  <si>
    <t>St. John I, Pope and Martyr</t>
  </si>
  <si>
    <t>St. Bernardine of Siena, Priest</t>
  </si>
  <si>
    <t>St. Christopher Magallanes, Priest, and Companions, Martyrs</t>
  </si>
  <si>
    <t>St. Rita of Cascia, Religious</t>
  </si>
  <si>
    <t>St. Bede the Venerable, Priest and Doctor of the Church</t>
  </si>
  <si>
    <t>St. Gregory VII, Pope</t>
  </si>
  <si>
    <t>St. Mary Magdalene de’ Pazzi, Virgin</t>
  </si>
  <si>
    <t xml:space="preserve">St. Philip Neri, Priest </t>
  </si>
  <si>
    <t>St. Augustine of Canterbury, Bishop</t>
  </si>
  <si>
    <t>The Visitation of the Blessed Virgin Mary</t>
  </si>
  <si>
    <t>The Most Holy Trinity</t>
  </si>
  <si>
    <t>St. Justin, Martyr</t>
  </si>
  <si>
    <t>Sts. Marcellinus and Peter, Martyrs</t>
  </si>
  <si>
    <t>St. Charles Lwanga and Companions, Martyrs</t>
  </si>
  <si>
    <t>St. Boniface, Bishop and Martyr</t>
  </si>
  <si>
    <t>St. Norbert, Bishop</t>
  </si>
  <si>
    <t>St. Ephrem, Deacon and Doctor of the Church</t>
  </si>
  <si>
    <t>St. Barnabas, Apostle</t>
  </si>
  <si>
    <t>St. Anthony of Padua, Priest and Doctor of the Church</t>
  </si>
  <si>
    <t>St. Romuald, Abbot</t>
  </si>
  <si>
    <t>St. Aloysius Gonzaga, Religious</t>
  </si>
  <si>
    <t>St. Paulinus of Nola, Bishop</t>
  </si>
  <si>
    <t>Sts. John Fisher, Bishop, and Thomas More, Martyrs</t>
  </si>
  <si>
    <t>The Nativity of St. John the Baptist</t>
  </si>
  <si>
    <t>St. Cyril of Alexandria, Bishop and Doctor of the Church</t>
  </si>
  <si>
    <t>St. Irenaeus, Bishop and Martyr</t>
  </si>
  <si>
    <t>Sts. Peter and Paul, Apostles</t>
  </si>
  <si>
    <t>The First Martyrs of the Holy Roman Church</t>
  </si>
  <si>
    <t>The Most Sacred Heart of Jesus</t>
  </si>
  <si>
    <t>The Immaculate Heart of the Blessed Virgin Mary</t>
  </si>
  <si>
    <t xml:space="preserve">St. Thomas, Apostle </t>
  </si>
  <si>
    <t>St. Anthony Zaccaria, Priest</t>
  </si>
  <si>
    <t>St. Maria Goretti, Virgin and Martyr</t>
  </si>
  <si>
    <t>St. Augustine Zhao Rong, Priest, and Companions, Martyrs</t>
  </si>
  <si>
    <t xml:space="preserve">St. Benedict, Abbot </t>
  </si>
  <si>
    <t>St. Henry</t>
  </si>
  <si>
    <t xml:space="preserve">St. Bonaventure, Bishop and Doctor of the Church </t>
  </si>
  <si>
    <t>Our Lady of Mount Carmel</t>
  </si>
  <si>
    <t>St. Apollinaris, Bishop and Martyr</t>
  </si>
  <si>
    <t>St. Lawrence of Brindisi, Priest and Doctor of the Church</t>
  </si>
  <si>
    <t xml:space="preserve">St. Mary Magdalene </t>
  </si>
  <si>
    <t>St. Bridget, Religious</t>
  </si>
  <si>
    <t>St. Sharbel Makhluf, Priest</t>
  </si>
  <si>
    <t xml:space="preserve">St. James, Apostle </t>
  </si>
  <si>
    <t xml:space="preserve">Sts. Joachim and Anne, Parents of the Blessed Virgin Mary </t>
  </si>
  <si>
    <t>St. Peter Chrysologus, Bishop and Doctor of the Church</t>
  </si>
  <si>
    <t xml:space="preserve">St. Ignatius of Loyola, Priest </t>
  </si>
  <si>
    <t xml:space="preserve">St. Alphonsus Mary Liguori, Bishop and Doctor of the Church </t>
  </si>
  <si>
    <t>St. Eusebius of Vercelli, Bishop</t>
  </si>
  <si>
    <t>St. Peter Julian Eymard, Priest</t>
  </si>
  <si>
    <t xml:space="preserve">St. John Mary Vianney, Priest </t>
  </si>
  <si>
    <t>The Dedication of the Basilica of St. Mary Major</t>
  </si>
  <si>
    <t xml:space="preserve">The Transfiguration of the Lord </t>
  </si>
  <si>
    <t>St. Sixtus II, Pope, and Companions, Martyrs</t>
  </si>
  <si>
    <t>St. Cajetan, Priest</t>
  </si>
  <si>
    <t xml:space="preserve">St. Dominic, Priest </t>
  </si>
  <si>
    <t>St. Teresa Benedicta of the Cross, Virgin and Martyr</t>
  </si>
  <si>
    <t xml:space="preserve">St. Lawrence, Deacon and Martyr </t>
  </si>
  <si>
    <t xml:space="preserve">St. Clare, Virgin </t>
  </si>
  <si>
    <t>St. Jane Frances de Chantal, Religious</t>
  </si>
  <si>
    <t>Sts. Pontian, Pope, and Hippolytus, Priest, Martyrs</t>
  </si>
  <si>
    <t xml:space="preserve">St. Maximilian Mary Kolbe, Priest and Martyr </t>
  </si>
  <si>
    <t xml:space="preserve">The Assumption of the Blessed Virgin Mary </t>
  </si>
  <si>
    <t>St. Stephen of Hungary</t>
  </si>
  <si>
    <t>St. John Eudes, Priest</t>
  </si>
  <si>
    <t xml:space="preserve">St. Bernard, Abbot and Doctor of the Church </t>
  </si>
  <si>
    <t xml:space="preserve">St. Pius X, Pope </t>
  </si>
  <si>
    <t xml:space="preserve">The Queenship of the Blessed Virgin Mary </t>
  </si>
  <si>
    <t>St. Rose of Lima, Virgin</t>
  </si>
  <si>
    <t xml:space="preserve">St. Bartholomew, Apostle </t>
  </si>
  <si>
    <t>St. Louis</t>
  </si>
  <si>
    <t>St. Joseph Calasanz, Priest</t>
  </si>
  <si>
    <t xml:space="preserve">St. Monica </t>
  </si>
  <si>
    <t xml:space="preserve">St. Augustine, Bishop and Doctor of the Church </t>
  </si>
  <si>
    <t xml:space="preserve">The Passion of St. John the Baptist </t>
  </si>
  <si>
    <t xml:space="preserve">St. Gregory the Great, Pope and Doctor of the Church </t>
  </si>
  <si>
    <t xml:space="preserve">The Nativity of the Blessed Virgin Mary </t>
  </si>
  <si>
    <t xml:space="preserve">St. Peter Claver, Priest </t>
  </si>
  <si>
    <t>The Most Holy Name of Mary</t>
  </si>
  <si>
    <t xml:space="preserve">St. John Chrysostom, Bishop and Doctor of the Church </t>
  </si>
  <si>
    <t xml:space="preserve">The Exaltation of the Holy Cross </t>
  </si>
  <si>
    <t xml:space="preserve">Our Lady of Sorrows </t>
  </si>
  <si>
    <t xml:space="preserve">Sts. Cornelius, Pope, and Cyprian, Bishop, Martyrs </t>
  </si>
  <si>
    <t>St. Robert Bellarmine, Bishop and Doctor of the Church</t>
  </si>
  <si>
    <t>St. Januarius, Bishop and Martyr</t>
  </si>
  <si>
    <t xml:space="preserve">St. Matthew, Apostle and Evangelist </t>
  </si>
  <si>
    <t xml:space="preserve">St. Pius of Pietrelcina, Priest </t>
  </si>
  <si>
    <t xml:space="preserve">Sts. Andrew Kim Tae-gon, Priest, Paul Chong Ha-sang, and Companions, Martyrs </t>
  </si>
  <si>
    <t>Sts. Cosmas and Damian, Martyrs</t>
  </si>
  <si>
    <t xml:space="preserve">St. Vincent de Paul, Priest </t>
  </si>
  <si>
    <t>St. Wenceslaus, Martyr</t>
  </si>
  <si>
    <t>St. Lawrence Ruiz and Companions, Martyrs</t>
  </si>
  <si>
    <t xml:space="preserve">Sts. Michael, Gabriel and Raphael, Archangels </t>
  </si>
  <si>
    <t xml:space="preserve">St. Jerome, Priest and Doctor of the Church </t>
  </si>
  <si>
    <t xml:space="preserve">St. Thérèse of the Child Jesus, Virgin and Doctor of the Church </t>
  </si>
  <si>
    <t xml:space="preserve">The Holy Guardian Angels </t>
  </si>
  <si>
    <t xml:space="preserve">St. Francis of Assisi </t>
  </si>
  <si>
    <t>St. Bruno, Priest</t>
  </si>
  <si>
    <t xml:space="preserve">Our Lady of the Rosary </t>
  </si>
  <si>
    <t>St. Denis, Bishop, and Companions, Martyrs</t>
  </si>
  <si>
    <t>St. John Leonardi, Priest</t>
  </si>
  <si>
    <t>St. Callistus I, Pope and Martyr</t>
  </si>
  <si>
    <t xml:space="preserve">St. Teresa of Jesus, Virgin and Doctor of the Church </t>
  </si>
  <si>
    <t>St. Hedwig, Religious</t>
  </si>
  <si>
    <t>St. Margaret Mary Alacoque, Virgin</t>
  </si>
  <si>
    <t xml:space="preserve">St. Ignatius of Antioch, Bishop and Martyr </t>
  </si>
  <si>
    <t xml:space="preserve">St. Luke, Evangelist </t>
  </si>
  <si>
    <t xml:space="preserve">Sts. John de Brébeuf and Isaac Jogues, Priests, and Companions, Martyrs </t>
  </si>
  <si>
    <t>St. Paul of the Cross, Priest</t>
  </si>
  <si>
    <t>St. John of Capestrano, Priest</t>
  </si>
  <si>
    <t>St. Anthony Mary Claret, Bishop</t>
  </si>
  <si>
    <t xml:space="preserve">Sts. Simon and Jude, Apostles </t>
  </si>
  <si>
    <t xml:space="preserve">All Saints </t>
  </si>
  <si>
    <t>The Commemoration of All the Faithful Departed (All Soul’s Day)</t>
  </si>
  <si>
    <t>St. Martin de Porres, Religious</t>
  </si>
  <si>
    <t xml:space="preserve">St. Charles Borromeo, Bishop </t>
  </si>
  <si>
    <t xml:space="preserve">The Dedication of the Lateran Basilica </t>
  </si>
  <si>
    <t xml:space="preserve">St. Leo the Great, Pope and Doctor of the Church </t>
  </si>
  <si>
    <t xml:space="preserve">St. Martin of Tours, Bishop </t>
  </si>
  <si>
    <t xml:space="preserve">St. Josaphat, Bishop and Martyr </t>
  </si>
  <si>
    <t>St. Albert the Great, Bishop and Doctor of the Church</t>
  </si>
  <si>
    <t>St. Margaret of Scotland</t>
  </si>
  <si>
    <t>St. Gertrude, Virgin</t>
  </si>
  <si>
    <t xml:space="preserve">St. Elizabeth of Hungary, Religious </t>
  </si>
  <si>
    <t>The Dedication of the Basilicas of Sts. Peter and Paul, Apostles</t>
  </si>
  <si>
    <t xml:space="preserve">The Presentation of the Blessed Virgin Mary </t>
  </si>
  <si>
    <t xml:space="preserve">St. Cecilia, Virgin and Martyr </t>
  </si>
  <si>
    <t>St. Clement I, Pope and Martyr</t>
  </si>
  <si>
    <t>St. Columban, Abbot</t>
  </si>
  <si>
    <t xml:space="preserve">St. Andrew Dung-Lac, Priest, and Companions, Martyrs </t>
  </si>
  <si>
    <t>St. Catherine of Alexandria, Virgin and Martyr</t>
  </si>
  <si>
    <t xml:space="preserve">St. Andrew, Apostle </t>
  </si>
  <si>
    <t>Our Lord Jesus Christ, King of the Universe</t>
  </si>
  <si>
    <t xml:space="preserve">St. Francis Xavier, Priest </t>
  </si>
  <si>
    <t>St. John Damascene, Priest and Doctor of the Church</t>
  </si>
  <si>
    <t>St. Nicholas, Bishop</t>
  </si>
  <si>
    <t xml:space="preserve">St. Ambrose, Bishop and Doctor of the Church </t>
  </si>
  <si>
    <t xml:space="preserve">The Immaculate Conception of the Blessed Virgin Mary (Patronal day of the United States of America) </t>
  </si>
  <si>
    <t>St. Damasus I, Pope</t>
  </si>
  <si>
    <t xml:space="preserve">Our Lady of Guadalupe </t>
  </si>
  <si>
    <t xml:space="preserve">St. Lucy, Virgin and Martyr </t>
  </si>
  <si>
    <t xml:space="preserve">St. John of the Cross, Priest and Doctor of the Church </t>
  </si>
  <si>
    <t>December 17</t>
  </si>
  <si>
    <t>December 18</t>
  </si>
  <si>
    <t>December 19</t>
  </si>
  <si>
    <t>December 20</t>
  </si>
  <si>
    <t>December 21</t>
  </si>
  <si>
    <t>December 22</t>
  </si>
  <si>
    <t>December 23</t>
  </si>
  <si>
    <t>December 24</t>
  </si>
  <si>
    <t>St. Peter Canisius, Priest and Doctor of the Church</t>
  </si>
  <si>
    <t>St. John of Kanty, Priest</t>
  </si>
  <si>
    <t xml:space="preserve">The Nativity of the Lord (Christmas) </t>
  </si>
  <si>
    <t xml:space="preserve">St. Stephen, The First Martyr </t>
  </si>
  <si>
    <t xml:space="preserve">St. John, Apostle and Evangelist </t>
  </si>
  <si>
    <t xml:space="preserve">The Holy Innocents, Martyrs </t>
  </si>
  <si>
    <t>St. Thomas Becket, Bishop and Martyr</t>
  </si>
  <si>
    <t>St. Sylvester I, Pope</t>
  </si>
  <si>
    <t xml:space="preserve">The Holy Family of Jesus, Mary, and Joseph </t>
  </si>
  <si>
    <t>Fifth Day within the Octave of the Nativity of the Lord [Christmas]</t>
  </si>
  <si>
    <t>Sixth Day within the Octave of the Nativity of the Lord [Christmas]</t>
  </si>
  <si>
    <t>Seventh Day within the Octave of the Nativity of the Lord [Christmas]</t>
  </si>
  <si>
    <t>Ash Wednesday</t>
  </si>
  <si>
    <t>Easter Sunday of the Resurrection of the Lord</t>
  </si>
  <si>
    <t>Thursday of the Lord’s Supper</t>
  </si>
  <si>
    <t>Friday of the Passion of the Lord [Good Friday]</t>
  </si>
  <si>
    <t>Holy Saturday</t>
  </si>
  <si>
    <t>The Ascension of the Lord</t>
  </si>
  <si>
    <t>Pentecost Sunday</t>
  </si>
  <si>
    <t>Monday of Holy Week</t>
  </si>
  <si>
    <t>Tuesday of Holy Week</t>
  </si>
  <si>
    <t>Wednesday of Holy Week</t>
  </si>
  <si>
    <t>Thursday of Holy Week [Holy Thursday]</t>
  </si>
  <si>
    <t>The Most Holy Body and Blood of Christ</t>
  </si>
  <si>
    <t>Second Sunday After the Nativity [Christmas]</t>
  </si>
  <si>
    <t>Weekdays of Christmas Time</t>
  </si>
  <si>
    <t>Weekdays of the Easter Time</t>
  </si>
  <si>
    <t>Weekdays in Ordinary Time</t>
  </si>
  <si>
    <t>Weekdays of Advent</t>
  </si>
  <si>
    <t>Weekdays of Lent</t>
  </si>
  <si>
    <t>Sundays in Ordinary Time</t>
  </si>
  <si>
    <t>Sundays of Advent</t>
  </si>
  <si>
    <t>Sundays of Lent</t>
  </si>
  <si>
    <t>Sundays of Easter</t>
  </si>
  <si>
    <t>FERIA II HEBDOMADÆ SANCTÆ</t>
  </si>
  <si>
    <t>FERIA III HEBDOMADÆ SANCTÆ</t>
  </si>
  <si>
    <t>FERIA IV HEBDOMADÆ SANCTÆ</t>
  </si>
  <si>
    <t>FERIA V HEBDOMADÆ SANCTÆ</t>
  </si>
  <si>
    <t>FERIA V IN CENA DOMINI</t>
  </si>
  <si>
    <t>FERIA VI IN PASSIONE DOMINI</t>
  </si>
  <si>
    <t>SABBATO SANCTO</t>
  </si>
  <si>
    <t>DOMINICA PASCHÆ IN RESURRECTIONE DOMINI</t>
  </si>
  <si>
    <t>DOMINICA PENTECOSTES</t>
  </si>
  <si>
    <t>IN ASCENSIONE DOMINI</t>
  </si>
  <si>
    <t>SS.MÆ TRINITATIS</t>
  </si>
  <si>
    <t>SS.MI CORPORIS ET SANGUINIS CHRISTI</t>
  </si>
  <si>
    <t>SACRATISSIMI CORDIS IESU</t>
  </si>
  <si>
    <t>Immaculati Cordis B. Mariæ Virginis</t>
  </si>
  <si>
    <t>Sanctæ Familiæ Iesu, Mariæ et Ioseph</t>
  </si>
  <si>
    <t>D. N. I. C. UNIVERSORUM REGIS</t>
  </si>
  <si>
    <t>Feria IV Cinerum</t>
  </si>
  <si>
    <t>Dominicæ Adventus</t>
  </si>
  <si>
    <t>Dominicæ Quadragesimæ</t>
  </si>
  <si>
    <t>Dominicæ Paschæ</t>
  </si>
  <si>
    <t>Baptismatis Domini</t>
  </si>
  <si>
    <t>Dominica II post Nativitatem</t>
  </si>
  <si>
    <t>Feriæ Quadragesimæ</t>
  </si>
  <si>
    <t>Feriæ Adventus</t>
  </si>
  <si>
    <t>Feriæ temporis Nativitatis</t>
  </si>
  <si>
    <t>Feriæ temporis paschalis</t>
  </si>
  <si>
    <t>Feriæ "per annum"</t>
  </si>
  <si>
    <t>Dominicæ "per annum"</t>
  </si>
  <si>
    <t>시기</t>
  </si>
  <si>
    <t>mov</t>
  </si>
  <si>
    <t>pasc</t>
  </si>
  <si>
    <t>quad</t>
  </si>
  <si>
    <t>nati</t>
  </si>
  <si>
    <t>adve</t>
  </si>
  <si>
    <t>annu</t>
  </si>
  <si>
    <t>cendo</t>
  </si>
  <si>
    <t>pasre</t>
  </si>
  <si>
    <t>pasdo</t>
  </si>
  <si>
    <t>sabsa</t>
  </si>
  <si>
    <t>epiph</t>
  </si>
  <si>
    <t>ascen</t>
  </si>
  <si>
    <t>pente</t>
  </si>
  <si>
    <t>ciner</t>
  </si>
  <si>
    <t>fiihe</t>
  </si>
  <si>
    <t>fiiih</t>
  </si>
  <si>
    <t>fivhe</t>
  </si>
  <si>
    <t>fvheb</t>
  </si>
  <si>
    <t>trini</t>
  </si>
  <si>
    <t>corsa</t>
  </si>
  <si>
    <t>corie</t>
  </si>
  <si>
    <t>unire</t>
  </si>
  <si>
    <t>bapti</t>
  </si>
  <si>
    <t>famil</t>
  </si>
  <si>
    <t>corma</t>
  </si>
  <si>
    <t>hash</t>
  </si>
  <si>
    <t>gradus</t>
  </si>
  <si>
    <t>fix.0101.031.octna</t>
  </si>
  <si>
    <t>fix.0102.101.basma</t>
  </si>
  <si>
    <t>fix.0103.121.nomie</t>
  </si>
  <si>
    <t>fix.0106.021.epido</t>
  </si>
  <si>
    <t>fix.0107.121.raipe</t>
  </si>
  <si>
    <t>fix.0113.121.hilep</t>
  </si>
  <si>
    <t>fix.0117.101.antab</t>
  </si>
  <si>
    <t>fix.0120.121.fabpa</t>
  </si>
  <si>
    <t>fix.0120.121.sebma</t>
  </si>
  <si>
    <t>fix.0121.101.agnvi</t>
  </si>
  <si>
    <t>fix.0122.121.vindi</t>
  </si>
  <si>
    <t>fix.0124.101.frasa</t>
  </si>
  <si>
    <t>fix.0125.071.conpa</t>
  </si>
  <si>
    <t>fix.0126.101.timti</t>
  </si>
  <si>
    <t>fix.0127.121.angme</t>
  </si>
  <si>
    <t>fix.0128.101.thoaq</t>
  </si>
  <si>
    <t>fix.0131.101.ioabo</t>
  </si>
  <si>
    <t>fix.0202.051.prado</t>
  </si>
  <si>
    <t>fix.0203.121.blaep</t>
  </si>
  <si>
    <t>fix.0203.121.ansep</t>
  </si>
  <si>
    <t>fix.0205.101.agavi</t>
  </si>
  <si>
    <t>fix.0206.101.paumi</t>
  </si>
  <si>
    <t>fix.0208.121.hieem</t>
  </si>
  <si>
    <t>fix.0208.121.iosba</t>
  </si>
  <si>
    <t>fix.0210.101.schvi</t>
  </si>
  <si>
    <t>fix.0211.121.marvi</t>
  </si>
  <si>
    <t>fix.0214.101.cyrmo</t>
  </si>
  <si>
    <t>fix.0217.121.sepfu</t>
  </si>
  <si>
    <t>fix.0221.121.petda</t>
  </si>
  <si>
    <t>fix.0222.071.catpe</t>
  </si>
  <si>
    <t>fix.0223.101.polep</t>
  </si>
  <si>
    <t>fix.0227.121.grena</t>
  </si>
  <si>
    <t>fix.0304.121.casim</t>
  </si>
  <si>
    <t>fix.0307.101.perfe</t>
  </si>
  <si>
    <t>fix.0308.121.ioaad</t>
  </si>
  <si>
    <t>fix.0309.121.fraro</t>
  </si>
  <si>
    <t>fix.0317.121.patep</t>
  </si>
  <si>
    <t>fix.0318.121.cyrhi</t>
  </si>
  <si>
    <t>fix.0319.031.iossp</t>
  </si>
  <si>
    <t>fix.0323.121.turmo</t>
  </si>
  <si>
    <t>fix.0325.031.anndo</t>
  </si>
  <si>
    <t>fix.0402.121.frapa</t>
  </si>
  <si>
    <t>fix.0404.121.isiep</t>
  </si>
  <si>
    <t>fix.0405.121.vinfe</t>
  </si>
  <si>
    <t>fix.0407.101.ioaba</t>
  </si>
  <si>
    <t>fix.0411.101.staep</t>
  </si>
  <si>
    <t>fix.0413.121.marip</t>
  </si>
  <si>
    <t>fix.0421.121.ansep</t>
  </si>
  <si>
    <t>fix.0423.121.geoma</t>
  </si>
  <si>
    <t>fix.0423.121.adaep</t>
  </si>
  <si>
    <t>fix.0424.121.fidsi</t>
  </si>
  <si>
    <t>fix.0425.071.marev</t>
  </si>
  <si>
    <t>fix.0428.121.petch</t>
  </si>
  <si>
    <t>fix.0428.121.ludma</t>
  </si>
  <si>
    <t>fix.0429.101.catse</t>
  </si>
  <si>
    <t>fix.0430.121.piivp</t>
  </si>
  <si>
    <t>fix.0501.121.iosop</t>
  </si>
  <si>
    <t>fix.0502.101.athep</t>
  </si>
  <si>
    <t>fix.0503.071.phiia</t>
  </si>
  <si>
    <t>fix.0510.121.ioaav</t>
  </si>
  <si>
    <t>fix.0512.121.nerac</t>
  </si>
  <si>
    <t>fix.0512.121.panma</t>
  </si>
  <si>
    <t>fix.0513.121.marvi</t>
  </si>
  <si>
    <t>fix.0514.071.matap</t>
  </si>
  <si>
    <t>fix.0518.121.ioaip</t>
  </si>
  <si>
    <t>fix.0520.121.berse</t>
  </si>
  <si>
    <t>fix.0521.121.chrma</t>
  </si>
  <si>
    <t>fix.0522.121.ritca</t>
  </si>
  <si>
    <t>fix.0525.121.bedve</t>
  </si>
  <si>
    <t>fix.0525.121.grevi</t>
  </si>
  <si>
    <t>fix.0525.121.marma</t>
  </si>
  <si>
    <t>fix.0526.101.phine</t>
  </si>
  <si>
    <t>fix.0527.121.augca</t>
  </si>
  <si>
    <t>fix.0529.121.pauvi</t>
  </si>
  <si>
    <t>fix.0531.071.visma</t>
  </si>
  <si>
    <t>fix.0601.101.iusma</t>
  </si>
  <si>
    <t>fix.0602.121.marpe</t>
  </si>
  <si>
    <t>fix.0603.101.carlw</t>
  </si>
  <si>
    <t>fix.0605.101.bonep</t>
  </si>
  <si>
    <t>fix.0606.121.norep</t>
  </si>
  <si>
    <t>fix.0609.121.ephdi</t>
  </si>
  <si>
    <t>fix.0611.101.barap</t>
  </si>
  <si>
    <t>fix.0613.101.antpa</t>
  </si>
  <si>
    <t>fix.0619.121.romab</t>
  </si>
  <si>
    <t>fix.0621.101.alogo</t>
  </si>
  <si>
    <t>fix.0622.121.pauno</t>
  </si>
  <si>
    <t>fix.0622.121.ioafi</t>
  </si>
  <si>
    <t>fix.0624.031.natio</t>
  </si>
  <si>
    <t>fix.0627.121.cyral</t>
  </si>
  <si>
    <t>fix.0628.101.ireep</t>
  </si>
  <si>
    <t>fix.0629.031.petpa</t>
  </si>
  <si>
    <t>fix.0630.121.proro</t>
  </si>
  <si>
    <t>fix.0703.071.thoap</t>
  </si>
  <si>
    <t>fix.0704.121.elilu</t>
  </si>
  <si>
    <t>fix.0705.121.antma</t>
  </si>
  <si>
    <t>fix.0706.121.margo</t>
  </si>
  <si>
    <t>fix.0709.121.augzh</t>
  </si>
  <si>
    <t>fix.0711.101.benab</t>
  </si>
  <si>
    <t>fix.0713.121.henri</t>
  </si>
  <si>
    <t>fix.0714.121.camle</t>
  </si>
  <si>
    <t>fix.0715.101.bonep</t>
  </si>
  <si>
    <t>fix.0716.121.marvi</t>
  </si>
  <si>
    <t>fix.0720.121.apoep</t>
  </si>
  <si>
    <t>fix.0721.121.laubr</t>
  </si>
  <si>
    <t>fix.0722.071.marma</t>
  </si>
  <si>
    <t>fix.0723.121.birre</t>
  </si>
  <si>
    <t>fix.0724.121.sarma</t>
  </si>
  <si>
    <t>fix.0725.071.iacap</t>
  </si>
  <si>
    <t>fix.0726.101.ioaan</t>
  </si>
  <si>
    <t>fix.0729.101.marma</t>
  </si>
  <si>
    <t>fix.0730.121.petch</t>
  </si>
  <si>
    <t>fix.0731.101.ignlo</t>
  </si>
  <si>
    <t>fix.0801.101.alfma</t>
  </si>
  <si>
    <t>fix.0802.121.eusve</t>
  </si>
  <si>
    <t>fix.0802.121.petiu</t>
  </si>
  <si>
    <t>fix.0804.101.ioama</t>
  </si>
  <si>
    <t>fix.0805.121.dedba</t>
  </si>
  <si>
    <t>fix.0806.051.trado</t>
  </si>
  <si>
    <t>fix.0807.121.xysii</t>
  </si>
  <si>
    <t>fix.0807.121.caipr</t>
  </si>
  <si>
    <t>fix.0808.101.dompr</t>
  </si>
  <si>
    <t>fix.0809.121.terbe</t>
  </si>
  <si>
    <t>fix.0810.071.laudi</t>
  </si>
  <si>
    <t>fix.0811.101.clavi</t>
  </si>
  <si>
    <t>fix.0812.121.ioafr</t>
  </si>
  <si>
    <t>fix.0813.121.ponpa</t>
  </si>
  <si>
    <t>fix.0814.101.maxma</t>
  </si>
  <si>
    <t>fix.0815.031.assbe</t>
  </si>
  <si>
    <t>fix.0816.121.stehu</t>
  </si>
  <si>
    <t>fix.0819.121.ioaeu</t>
  </si>
  <si>
    <t>fix.0820.101.berab</t>
  </si>
  <si>
    <t>fix.0821.101.piixp</t>
  </si>
  <si>
    <t>fix.0822.101.marvi</t>
  </si>
  <si>
    <t>fix.0823.121.rosli</t>
  </si>
  <si>
    <t>fix.0824.071.barap</t>
  </si>
  <si>
    <t>fix.0825.121.ludov</t>
  </si>
  <si>
    <t>fix.0825.121.iosca</t>
  </si>
  <si>
    <t>fix.0828.101.augep</t>
  </si>
  <si>
    <t>fix.0829.101.pasio</t>
  </si>
  <si>
    <t>fix.0903.101.grema</t>
  </si>
  <si>
    <t>fix.0905.121.terca</t>
  </si>
  <si>
    <t>fix.0908.071.natma</t>
  </si>
  <si>
    <t>fix.0909.121.petcl</t>
  </si>
  <si>
    <t>fix.0912.121.nomma</t>
  </si>
  <si>
    <t>fix.0913.101.ioach</t>
  </si>
  <si>
    <t>fix.0914.051.exacr</t>
  </si>
  <si>
    <t>fix.0915.101.marvi</t>
  </si>
  <si>
    <t>fix.0916.101.corpa</t>
  </si>
  <si>
    <t>fix.0917.121.robbe</t>
  </si>
  <si>
    <t>fix.0917.121.hilbi</t>
  </si>
  <si>
    <t>fix.0919.121.ianep</t>
  </si>
  <si>
    <t>fix.0920.101.andki</t>
  </si>
  <si>
    <t>fix.0921.071.matap</t>
  </si>
  <si>
    <t>fix.0923.101.piipi</t>
  </si>
  <si>
    <t>fix.0926.121.cosda</t>
  </si>
  <si>
    <t>fix.0927.101.vinpa</t>
  </si>
  <si>
    <t>fix.0928.121.venma</t>
  </si>
  <si>
    <t>fix.0928.121.lauru</t>
  </si>
  <si>
    <t>fix.0929.071.micga</t>
  </si>
  <si>
    <t>fix.0930.101.hiepr</t>
  </si>
  <si>
    <t>fix.1001.101.terai</t>
  </si>
  <si>
    <t>fix.1002.101.angcu</t>
  </si>
  <si>
    <t>fix.1004.101.fraas</t>
  </si>
  <si>
    <t>fix.1006.121.brupr</t>
  </si>
  <si>
    <t>fix.1007.101.marvi</t>
  </si>
  <si>
    <t>fix.1009.121.dioep</t>
  </si>
  <si>
    <t>fix.1009.121.ioale</t>
  </si>
  <si>
    <t>fix.1011.121.ioaxx</t>
  </si>
  <si>
    <t>fix.1014.121.calip</t>
  </si>
  <si>
    <t>fix.1015.101.terai</t>
  </si>
  <si>
    <t>fix.1016.121.hedre</t>
  </si>
  <si>
    <t>fix.1016.121.marma</t>
  </si>
  <si>
    <t>fix.1017.101.ignan</t>
  </si>
  <si>
    <t>fix.1018.071.lucev</t>
  </si>
  <si>
    <t>fix.1019.121.ioabr</t>
  </si>
  <si>
    <t>fix.1019.121.pauac</t>
  </si>
  <si>
    <t>fix.1022.121.ioapa</t>
  </si>
  <si>
    <t>fix.1023.121.ioaca</t>
  </si>
  <si>
    <t>fix.1024.121.antma</t>
  </si>
  <si>
    <t>fix.1028.071.simiu</t>
  </si>
  <si>
    <t>fix.1101.031.omnsa</t>
  </si>
  <si>
    <t>fix.1102.032.comom</t>
  </si>
  <si>
    <t>fix.1103.121.marpo</t>
  </si>
  <si>
    <t>fix.1104.101.carbo</t>
  </si>
  <si>
    <t>fix.1109.071.dedba</t>
  </si>
  <si>
    <t>fix.1110.101.leoma</t>
  </si>
  <si>
    <t>fix.1111.101.martu</t>
  </si>
  <si>
    <t>fix.1112.101.iosep</t>
  </si>
  <si>
    <t>fix.1115.121.albma</t>
  </si>
  <si>
    <t>fix.1116.121.marsc</t>
  </si>
  <si>
    <t>fix.1116.121.gervi</t>
  </si>
  <si>
    <t>fix.1117.101.elihu</t>
  </si>
  <si>
    <t>fix.1118.121.dedba</t>
  </si>
  <si>
    <t>fix.1121.101.prama</t>
  </si>
  <si>
    <t>fix.1122.101.caevi</t>
  </si>
  <si>
    <t>fix.1123.121.cleip</t>
  </si>
  <si>
    <t>fix.1123.121.colab</t>
  </si>
  <si>
    <t>fix.1124.101.anddn</t>
  </si>
  <si>
    <t>fix.1125.121.catal</t>
  </si>
  <si>
    <t>fix.1130.071.andap</t>
  </si>
  <si>
    <t>fix.1203.101.fraxa</t>
  </si>
  <si>
    <t>fix.1204.121.ioada</t>
  </si>
  <si>
    <t>fix.1206.121.nicep</t>
  </si>
  <si>
    <t>fix.1207.101.ambep</t>
  </si>
  <si>
    <t>fix.1208.031.conim</t>
  </si>
  <si>
    <t>fix.1210.121.marvi</t>
  </si>
  <si>
    <t>fix.1211.121.damip</t>
  </si>
  <si>
    <t>fix.1212.121.marvi</t>
  </si>
  <si>
    <t>fix.1213.101.lucvi</t>
  </si>
  <si>
    <t>fix.1214.101.ioaac</t>
  </si>
  <si>
    <t>fix.1217.091.die17</t>
  </si>
  <si>
    <t>fix.1218.091.die18</t>
  </si>
  <si>
    <t>fix.1219.091.die19</t>
  </si>
  <si>
    <t>fix.1220.091.die20</t>
  </si>
  <si>
    <t>fix.1221.091.die21</t>
  </si>
  <si>
    <t>fix.1221.121.petca</t>
  </si>
  <si>
    <t>fix.1222.091.die22</t>
  </si>
  <si>
    <t>fix.1223.091.die23</t>
  </si>
  <si>
    <t>fix.1223.121.ioakt</t>
  </si>
  <si>
    <t>fix.1224.091.die24</t>
  </si>
  <si>
    <t>fix.1225.021.natdo</t>
  </si>
  <si>
    <t>fix.1226.071.stepr</t>
  </si>
  <si>
    <t>fix.1227.071.ioaap</t>
  </si>
  <si>
    <t>fix.1228.071.innma</t>
  </si>
  <si>
    <t>fix.1229.092.devdi</t>
  </si>
  <si>
    <t>fix.1229.121.thobe</t>
  </si>
  <si>
    <t>fix.1230.092.devid</t>
  </si>
  <si>
    <t>fix.1231.092.devii</t>
  </si>
  <si>
    <t>fix.1231.121.silip</t>
  </si>
  <si>
    <t>mov.pasc.011.pasre</t>
  </si>
  <si>
    <t>mov.quad.011.cendo</t>
  </si>
  <si>
    <t>mov.quad.011.pasdo</t>
  </si>
  <si>
    <t>mov.quad.011.sabsa</t>
  </si>
  <si>
    <t>mov.nati.021.epiph</t>
  </si>
  <si>
    <t>mov.pasc.021.ascen</t>
  </si>
  <si>
    <t>mov.pasc.021.pente</t>
  </si>
  <si>
    <t>mov.quad.023.ciner</t>
  </si>
  <si>
    <t>mov.quad.024.fiihe</t>
  </si>
  <si>
    <t>mov.quad.024.fiiih</t>
  </si>
  <si>
    <t>mov.quad.024.fivhe</t>
  </si>
  <si>
    <t>mov.quad.020.fvheb</t>
  </si>
  <si>
    <t>mov.annu.031.trini</t>
  </si>
  <si>
    <t>mov.annu.031.corsa</t>
  </si>
  <si>
    <t>mov.annu.031.corie</t>
  </si>
  <si>
    <t>mov.annu.031.unire</t>
  </si>
  <si>
    <t>mov.nati.051.bapti</t>
  </si>
  <si>
    <t>mov.nati.051.famil</t>
  </si>
  <si>
    <t>mov.annu.101.corma</t>
  </si>
  <si>
    <t>St. Gregory of Narek, Abbot and Doctor of the Church</t>
  </si>
  <si>
    <t>St. John of Avila, Priest and Doctor of the Church</t>
  </si>
  <si>
    <t>St. Paul VI, Pope</t>
  </si>
  <si>
    <t>St. Elizabeth of Portugal</t>
  </si>
  <si>
    <t>St. Camillus de Lellis, Priest</t>
  </si>
  <si>
    <t>St. Hildegard of Bingen, Virgin and Doctor of the Church</t>
  </si>
  <si>
    <t>St. Faustina Kowalska, Virgin</t>
  </si>
  <si>
    <t>St. John XXIII, Pope</t>
  </si>
  <si>
    <t>St. John Paul II, Pope</t>
  </si>
  <si>
    <t>Our Lady of Loreto</t>
  </si>
  <si>
    <t>St. Irenaeus, Bishop, Martyr and Doctor of the Church</t>
  </si>
  <si>
    <t xml:space="preserve">Sts. Martha, Mary and Lazarus </t>
  </si>
  <si>
    <t>Sts. Martha, Mary and Lazarus</t>
  </si>
  <si>
    <t>St. Teresa of Calcutta, Virgin</t>
  </si>
  <si>
    <t>fix.0827.101.monic</t>
  </si>
  <si>
    <t>fix.1005.121.fauko</t>
  </si>
  <si>
    <t>id</t>
  </si>
  <si>
    <t>id_cat</t>
  </si>
  <si>
    <t>scope</t>
  </si>
  <si>
    <t>lit_grade</t>
  </si>
  <si>
    <t>lit_colour</t>
  </si>
  <si>
    <t>id_name</t>
  </si>
  <si>
    <t>lit_temp</t>
  </si>
  <si>
    <t>month_day</t>
  </si>
  <si>
    <t>0101</t>
  </si>
  <si>
    <t>310</t>
  </si>
  <si>
    <t>0102</t>
  </si>
  <si>
    <t>0103</t>
  </si>
  <si>
    <t>210</t>
  </si>
  <si>
    <t>0107</t>
  </si>
  <si>
    <t>0113</t>
  </si>
  <si>
    <t>0117</t>
  </si>
  <si>
    <t>0120</t>
  </si>
  <si>
    <t>0121</t>
  </si>
  <si>
    <t>0122</t>
  </si>
  <si>
    <t>0124</t>
  </si>
  <si>
    <t>0125</t>
  </si>
  <si>
    <t>710</t>
  </si>
  <si>
    <t>0126</t>
  </si>
  <si>
    <t>0127</t>
  </si>
  <si>
    <t>0128</t>
  </si>
  <si>
    <t>0131</t>
  </si>
  <si>
    <t>0202</t>
  </si>
  <si>
    <t>510</t>
  </si>
  <si>
    <t>0203</t>
  </si>
  <si>
    <t>0205</t>
  </si>
  <si>
    <t>0206</t>
  </si>
  <si>
    <t>0208</t>
  </si>
  <si>
    <t>0210</t>
  </si>
  <si>
    <t>0211</t>
  </si>
  <si>
    <t>0214</t>
  </si>
  <si>
    <t>0217</t>
  </si>
  <si>
    <t>0221</t>
  </si>
  <si>
    <t>0222</t>
  </si>
  <si>
    <t>0223</t>
  </si>
  <si>
    <t>0227</t>
  </si>
  <si>
    <t>0304</t>
  </si>
  <si>
    <t>0307</t>
  </si>
  <si>
    <t>0308</t>
  </si>
  <si>
    <t>0309</t>
  </si>
  <si>
    <t>0317</t>
  </si>
  <si>
    <t>0318</t>
  </si>
  <si>
    <t>0319</t>
  </si>
  <si>
    <t>0323</t>
  </si>
  <si>
    <t>0325</t>
  </si>
  <si>
    <t>0402</t>
  </si>
  <si>
    <t>0404</t>
  </si>
  <si>
    <t>0405</t>
  </si>
  <si>
    <t>0407</t>
  </si>
  <si>
    <t>0411</t>
  </si>
  <si>
    <t>0413</t>
  </si>
  <si>
    <t>0421</t>
  </si>
  <si>
    <t>0423</t>
  </si>
  <si>
    <t>0424</t>
  </si>
  <si>
    <t>0425</t>
  </si>
  <si>
    <t>0428</t>
  </si>
  <si>
    <t>0429</t>
  </si>
  <si>
    <t>0430</t>
  </si>
  <si>
    <t>0501</t>
  </si>
  <si>
    <t>0502</t>
  </si>
  <si>
    <t>0503</t>
  </si>
  <si>
    <t>0510</t>
  </si>
  <si>
    <t>0512</t>
  </si>
  <si>
    <t>0513</t>
  </si>
  <si>
    <t>0514</t>
  </si>
  <si>
    <t>0518</t>
  </si>
  <si>
    <t>0520</t>
  </si>
  <si>
    <t>0521</t>
  </si>
  <si>
    <t>0522</t>
  </si>
  <si>
    <t>0525</t>
  </si>
  <si>
    <t>0526</t>
  </si>
  <si>
    <t>0527</t>
  </si>
  <si>
    <t>0529</t>
  </si>
  <si>
    <t>0531</t>
  </si>
  <si>
    <t>0601</t>
  </si>
  <si>
    <t>0602</t>
  </si>
  <si>
    <t>0603</t>
  </si>
  <si>
    <t>0605</t>
  </si>
  <si>
    <t>0606</t>
  </si>
  <si>
    <t>0609</t>
  </si>
  <si>
    <t>0611</t>
  </si>
  <si>
    <t>0613</t>
  </si>
  <si>
    <t>0619</t>
  </si>
  <si>
    <t>0621</t>
  </si>
  <si>
    <t>0622</t>
  </si>
  <si>
    <t>0624</t>
  </si>
  <si>
    <t>0627</t>
  </si>
  <si>
    <t>0628</t>
  </si>
  <si>
    <t>0629</t>
  </si>
  <si>
    <t>0630</t>
  </si>
  <si>
    <t>0703</t>
  </si>
  <si>
    <t>0704</t>
  </si>
  <si>
    <t>0705</t>
  </si>
  <si>
    <t>0706</t>
  </si>
  <si>
    <t>0709</t>
  </si>
  <si>
    <t>0711</t>
  </si>
  <si>
    <t>0713</t>
  </si>
  <si>
    <t>0714</t>
  </si>
  <si>
    <t>0715</t>
  </si>
  <si>
    <t>0716</t>
  </si>
  <si>
    <t>0720</t>
  </si>
  <si>
    <t>0721</t>
  </si>
  <si>
    <t>0722</t>
  </si>
  <si>
    <t>0723</t>
  </si>
  <si>
    <t>0724</t>
  </si>
  <si>
    <t>0725</t>
  </si>
  <si>
    <t>0726</t>
  </si>
  <si>
    <t>0729</t>
  </si>
  <si>
    <t>0730</t>
  </si>
  <si>
    <t>0731</t>
  </si>
  <si>
    <t>0801</t>
  </si>
  <si>
    <t>0802</t>
  </si>
  <si>
    <t>0804</t>
  </si>
  <si>
    <t>0805</t>
  </si>
  <si>
    <t>0806</t>
  </si>
  <si>
    <t>0807</t>
  </si>
  <si>
    <t>0808</t>
  </si>
  <si>
    <t>0809</t>
  </si>
  <si>
    <t>0810</t>
  </si>
  <si>
    <t>0811</t>
  </si>
  <si>
    <t>0812</t>
  </si>
  <si>
    <t>0813</t>
  </si>
  <si>
    <t>0814</t>
  </si>
  <si>
    <t>0815</t>
  </si>
  <si>
    <t>0816</t>
  </si>
  <si>
    <t>0819</t>
  </si>
  <si>
    <t>0820</t>
  </si>
  <si>
    <t>0821</t>
  </si>
  <si>
    <t>0822</t>
  </si>
  <si>
    <t>0823</t>
  </si>
  <si>
    <t>0824</t>
  </si>
  <si>
    <t>0825</t>
  </si>
  <si>
    <t>0827</t>
  </si>
  <si>
    <t>0828</t>
  </si>
  <si>
    <t>0829</t>
  </si>
  <si>
    <t>0903</t>
  </si>
  <si>
    <t>0905</t>
  </si>
  <si>
    <t>0908</t>
  </si>
  <si>
    <t>0909</t>
  </si>
  <si>
    <t>0912</t>
  </si>
  <si>
    <t>0913</t>
  </si>
  <si>
    <t>0914</t>
  </si>
  <si>
    <t>0915</t>
  </si>
  <si>
    <t>0916</t>
  </si>
  <si>
    <t>0917</t>
  </si>
  <si>
    <t>0919</t>
  </si>
  <si>
    <t>0920</t>
  </si>
  <si>
    <t>0921</t>
  </si>
  <si>
    <t>0923</t>
  </si>
  <si>
    <t>0926</t>
  </si>
  <si>
    <t>0927</t>
  </si>
  <si>
    <t>0928</t>
  </si>
  <si>
    <t>0929</t>
  </si>
  <si>
    <t>0930</t>
  </si>
  <si>
    <t>1001</t>
  </si>
  <si>
    <t>1002</t>
  </si>
  <si>
    <t>1004</t>
  </si>
  <si>
    <t>1005</t>
  </si>
  <si>
    <t>1006</t>
  </si>
  <si>
    <t>1007</t>
  </si>
  <si>
    <t>1009</t>
  </si>
  <si>
    <t>1011</t>
  </si>
  <si>
    <t>1014</t>
  </si>
  <si>
    <t>1015</t>
  </si>
  <si>
    <t>1016</t>
  </si>
  <si>
    <t>1017</t>
  </si>
  <si>
    <t>1018</t>
  </si>
  <si>
    <t>1019</t>
  </si>
  <si>
    <t>1022</t>
  </si>
  <si>
    <t>1023</t>
  </si>
  <si>
    <t>1024</t>
  </si>
  <si>
    <t>1028</t>
  </si>
  <si>
    <t>1101</t>
  </si>
  <si>
    <t>1102</t>
  </si>
  <si>
    <t>320</t>
  </si>
  <si>
    <t>1103</t>
  </si>
  <si>
    <t>1104</t>
  </si>
  <si>
    <t>1109</t>
  </si>
  <si>
    <t>1110</t>
  </si>
  <si>
    <t>1111</t>
  </si>
  <si>
    <t>1112</t>
  </si>
  <si>
    <t>1115</t>
  </si>
  <si>
    <t>1116</t>
  </si>
  <si>
    <t>1117</t>
  </si>
  <si>
    <t>1118</t>
  </si>
  <si>
    <t>1121</t>
  </si>
  <si>
    <t>1122</t>
  </si>
  <si>
    <t>1123</t>
  </si>
  <si>
    <t>1124</t>
  </si>
  <si>
    <t>1125</t>
  </si>
  <si>
    <t>1130</t>
  </si>
  <si>
    <t>1203</t>
  </si>
  <si>
    <t>1204</t>
  </si>
  <si>
    <t>1206</t>
  </si>
  <si>
    <t>1207</t>
  </si>
  <si>
    <t>1208</t>
  </si>
  <si>
    <t>1210</t>
  </si>
  <si>
    <t>1211</t>
  </si>
  <si>
    <t>1212</t>
  </si>
  <si>
    <t>1213</t>
  </si>
  <si>
    <t>1214</t>
  </si>
  <si>
    <t>1217</t>
  </si>
  <si>
    <t>910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</si>
  <si>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</si>
  <si>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</si>
  <si>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</si>
  <si>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</si>
  <si>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</si>
  <si>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</si>
  <si>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</si>
  <si>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</si>
  <si>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</si>
  <si>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</si>
  <si>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</si>
  <si>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</si>
  <si>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920</t>
  </si>
  <si>
    <t>1230</t>
  </si>
  <si>
    <t>1231</t>
  </si>
  <si>
    <t>octna</t>
  </si>
  <si>
    <t>basma</t>
  </si>
  <si>
    <t>nomie</t>
  </si>
  <si>
    <t>raipe</t>
  </si>
  <si>
    <t>hilep</t>
  </si>
  <si>
    <t>antab</t>
  </si>
  <si>
    <t>fabpa</t>
  </si>
  <si>
    <t>sebma</t>
  </si>
  <si>
    <t>agnvi</t>
  </si>
  <si>
    <t>vindi</t>
  </si>
  <si>
    <t>frasa</t>
  </si>
  <si>
    <t>conpa</t>
  </si>
  <si>
    <t>timti</t>
  </si>
  <si>
    <t>angme</t>
  </si>
  <si>
    <t>thoaq</t>
  </si>
  <si>
    <t>ioabo</t>
  </si>
  <si>
    <t>prado</t>
  </si>
  <si>
    <t>blaep</t>
  </si>
  <si>
    <t>ansep</t>
  </si>
  <si>
    <t>agavi</t>
  </si>
  <si>
    <t>paumi</t>
  </si>
  <si>
    <t>hieem</t>
  </si>
  <si>
    <t>iosba</t>
  </si>
  <si>
    <t>schvi</t>
  </si>
  <si>
    <t>marvi</t>
  </si>
  <si>
    <t>cyrmo</t>
  </si>
  <si>
    <t>sepfu</t>
  </si>
  <si>
    <t>petda</t>
  </si>
  <si>
    <t>catpe</t>
  </si>
  <si>
    <t>polep</t>
  </si>
  <si>
    <t>grena</t>
  </si>
  <si>
    <t>casim</t>
  </si>
  <si>
    <t>perfe</t>
  </si>
  <si>
    <t>ioaad</t>
  </si>
  <si>
    <t>fraro</t>
  </si>
  <si>
    <t>patep</t>
  </si>
  <si>
    <t>cyrhi</t>
  </si>
  <si>
    <t>iossp</t>
  </si>
  <si>
    <t>turmo</t>
  </si>
  <si>
    <t>anndo</t>
  </si>
  <si>
    <t>frapa</t>
  </si>
  <si>
    <t>isiep</t>
  </si>
  <si>
    <t>vinfe</t>
  </si>
  <si>
    <t>ioaba</t>
  </si>
  <si>
    <t>staep</t>
  </si>
  <si>
    <t>marip</t>
  </si>
  <si>
    <t>geoma</t>
  </si>
  <si>
    <t>adaep</t>
  </si>
  <si>
    <t>fidsi</t>
  </si>
  <si>
    <t>marev</t>
  </si>
  <si>
    <t>petch</t>
  </si>
  <si>
    <t>ludma</t>
  </si>
  <si>
    <t>catse</t>
  </si>
  <si>
    <t>piivp</t>
  </si>
  <si>
    <t>iosop</t>
  </si>
  <si>
    <t>athep</t>
  </si>
  <si>
    <t>phiia</t>
  </si>
  <si>
    <t>ioaav</t>
  </si>
  <si>
    <t>nerac</t>
  </si>
  <si>
    <t>panma</t>
  </si>
  <si>
    <t>matap</t>
  </si>
  <si>
    <t>ioaip</t>
  </si>
  <si>
    <t>berse</t>
  </si>
  <si>
    <t>chrma</t>
  </si>
  <si>
    <t>ritca</t>
  </si>
  <si>
    <t>bedve</t>
  </si>
  <si>
    <t>grevi</t>
  </si>
  <si>
    <t>marma</t>
  </si>
  <si>
    <t>phine</t>
  </si>
  <si>
    <t>augca</t>
  </si>
  <si>
    <t>pauvi</t>
  </si>
  <si>
    <t>visma</t>
  </si>
  <si>
    <t>iusma</t>
  </si>
  <si>
    <t>marpe</t>
  </si>
  <si>
    <t>carlw</t>
  </si>
  <si>
    <t>bonep</t>
  </si>
  <si>
    <t>norep</t>
  </si>
  <si>
    <t>ephdi</t>
  </si>
  <si>
    <t>barap</t>
  </si>
  <si>
    <t>antpa</t>
  </si>
  <si>
    <t>romab</t>
  </si>
  <si>
    <t>alogo</t>
  </si>
  <si>
    <t>pauno</t>
  </si>
  <si>
    <t>ioafi</t>
  </si>
  <si>
    <t>natio</t>
  </si>
  <si>
    <t>cyral</t>
  </si>
  <si>
    <t>ireep</t>
  </si>
  <si>
    <t>petpa</t>
  </si>
  <si>
    <t>proro</t>
  </si>
  <si>
    <t>thoap</t>
  </si>
  <si>
    <t>elilu</t>
  </si>
  <si>
    <t>antma</t>
  </si>
  <si>
    <t>margo</t>
  </si>
  <si>
    <t>augzh</t>
  </si>
  <si>
    <t>benab</t>
  </si>
  <si>
    <t>henri</t>
  </si>
  <si>
    <t>camle</t>
  </si>
  <si>
    <t>apoep</t>
  </si>
  <si>
    <t>laubr</t>
  </si>
  <si>
    <t>birre</t>
  </si>
  <si>
    <t>sarma</t>
  </si>
  <si>
    <t>iacap</t>
  </si>
  <si>
    <t>ioaan</t>
  </si>
  <si>
    <t>ignlo</t>
  </si>
  <si>
    <t>alfma</t>
  </si>
  <si>
    <t>eusve</t>
  </si>
  <si>
    <t>petiu</t>
  </si>
  <si>
    <t>ioama</t>
  </si>
  <si>
    <t>dedba</t>
  </si>
  <si>
    <t>trado</t>
  </si>
  <si>
    <t>xysii</t>
  </si>
  <si>
    <t>caipr</t>
  </si>
  <si>
    <t>dompr</t>
  </si>
  <si>
    <t>terbe</t>
  </si>
  <si>
    <t>laudi</t>
  </si>
  <si>
    <t>clavi</t>
  </si>
  <si>
    <t>ioafr</t>
  </si>
  <si>
    <t>ponpa</t>
  </si>
  <si>
    <t>maxma</t>
  </si>
  <si>
    <t>assbe</t>
  </si>
  <si>
    <t>stehu</t>
  </si>
  <si>
    <t>ioaeu</t>
  </si>
  <si>
    <t>berab</t>
  </si>
  <si>
    <t>piixp</t>
  </si>
  <si>
    <t>rosli</t>
  </si>
  <si>
    <t>ludov</t>
  </si>
  <si>
    <t>iosca</t>
  </si>
  <si>
    <t>monic</t>
  </si>
  <si>
    <t>augep</t>
  </si>
  <si>
    <t>pasio</t>
  </si>
  <si>
    <t>grema</t>
  </si>
  <si>
    <t>terca</t>
  </si>
  <si>
    <t>natma</t>
  </si>
  <si>
    <t>petcl</t>
  </si>
  <si>
    <t>nomma</t>
  </si>
  <si>
    <t>ioach</t>
  </si>
  <si>
    <t>exacr</t>
  </si>
  <si>
    <t>corpa</t>
  </si>
  <si>
    <t>robbe</t>
  </si>
  <si>
    <t>hilbi</t>
  </si>
  <si>
    <t>ianep</t>
  </si>
  <si>
    <t>andki</t>
  </si>
  <si>
    <t>piipi</t>
  </si>
  <si>
    <t>cosda</t>
  </si>
  <si>
    <t>vinpa</t>
  </si>
  <si>
    <t>venma</t>
  </si>
  <si>
    <t>lauru</t>
  </si>
  <si>
    <t>micga</t>
  </si>
  <si>
    <t>hiepr</t>
  </si>
  <si>
    <t>terai</t>
  </si>
  <si>
    <t>angcu</t>
  </si>
  <si>
    <t>fraas</t>
  </si>
  <si>
    <t>fauko</t>
  </si>
  <si>
    <t>brupr</t>
  </si>
  <si>
    <t>dioep</t>
  </si>
  <si>
    <t>ioale</t>
  </si>
  <si>
    <t>ioaxx</t>
  </si>
  <si>
    <t>calip</t>
  </si>
  <si>
    <t>hedre</t>
  </si>
  <si>
    <t>ignan</t>
  </si>
  <si>
    <t>lucev</t>
  </si>
  <si>
    <t>ioabr</t>
  </si>
  <si>
    <t>pauac</t>
  </si>
  <si>
    <t>ioapa</t>
  </si>
  <si>
    <t>ioaca</t>
  </si>
  <si>
    <t>simiu</t>
  </si>
  <si>
    <t>omnsa</t>
  </si>
  <si>
    <t>comom</t>
  </si>
  <si>
    <t>marpo</t>
  </si>
  <si>
    <t>carbo</t>
  </si>
  <si>
    <t>leoma</t>
  </si>
  <si>
    <t>martu</t>
  </si>
  <si>
    <t>iosep</t>
  </si>
  <si>
    <t>albma</t>
  </si>
  <si>
    <t>marsc</t>
  </si>
  <si>
    <t>gervi</t>
  </si>
  <si>
    <t>elihu</t>
  </si>
  <si>
    <t>prama</t>
  </si>
  <si>
    <t>caevi</t>
  </si>
  <si>
    <t>cleip</t>
  </si>
  <si>
    <t>colab</t>
  </si>
  <si>
    <t>anddn</t>
  </si>
  <si>
    <t>catal</t>
  </si>
  <si>
    <t>andap</t>
  </si>
  <si>
    <t>fraxa</t>
  </si>
  <si>
    <t>ioada</t>
  </si>
  <si>
    <t>nicep</t>
  </si>
  <si>
    <t>ambep</t>
  </si>
  <si>
    <t>conim</t>
  </si>
  <si>
    <t>damip</t>
  </si>
  <si>
    <t>lucvi</t>
  </si>
  <si>
    <t>ioaac</t>
  </si>
  <si>
    <t>die17</t>
  </si>
  <si>
    <t>die18</t>
  </si>
  <si>
    <t>die19</t>
  </si>
  <si>
    <t>die20</t>
  </si>
  <si>
    <t>die21</t>
  </si>
  <si>
    <t>petca</t>
  </si>
  <si>
    <t>die22</t>
  </si>
  <si>
    <t>die23</t>
  </si>
  <si>
    <t>ioakt</t>
  </si>
  <si>
    <t>die24</t>
  </si>
  <si>
    <t>natdo</t>
  </si>
  <si>
    <t>stepr</t>
  </si>
  <si>
    <t>ioaap</t>
  </si>
  <si>
    <t>innma</t>
  </si>
  <si>
    <t>devdi</t>
  </si>
  <si>
    <t>thobe</t>
  </si>
  <si>
    <t>devid</t>
  </si>
  <si>
    <t>devii</t>
  </si>
  <si>
    <t>silip</t>
  </si>
  <si>
    <t>00000001</t>
  </si>
  <si>
    <t>a10</t>
  </si>
  <si>
    <t>c10</t>
  </si>
  <si>
    <t>St. Juan Diego Cuauhtlatoatzin</t>
  </si>
  <si>
    <t>S. Ioannis Didaci Cuahtlatoatzin</t>
  </si>
  <si>
    <t>성 요한 디다코(후안 디에고) 쿠아우틀라토아친</t>
  </si>
  <si>
    <t>ioadi</t>
  </si>
  <si>
    <t>01000001</t>
  </si>
  <si>
    <t>00000010</t>
  </si>
  <si>
    <t>01000010</t>
  </si>
  <si>
    <t>00011001</t>
  </si>
  <si>
    <t>00001000</t>
  </si>
  <si>
    <t>110</t>
  </si>
  <si>
    <t>230</t>
  </si>
  <si>
    <t>240</t>
  </si>
  <si>
    <t>200</t>
  </si>
  <si>
    <t>w01d0</t>
  </si>
  <si>
    <t>psch</t>
  </si>
  <si>
    <t>대림 제1주일</t>
  </si>
  <si>
    <t>대림 제1주간 월요일</t>
  </si>
  <si>
    <t>대림 제1주간 화요일</t>
  </si>
  <si>
    <t>성탄 후 제2주일</t>
  </si>
  <si>
    <t>주님 수난 성지 주일</t>
  </si>
  <si>
    <t>w02d0</t>
  </si>
  <si>
    <t>w03d0</t>
  </si>
  <si>
    <t>w04d0</t>
  </si>
  <si>
    <t>w01d1</t>
  </si>
  <si>
    <t>w01d2</t>
  </si>
  <si>
    <t>w01d3</t>
  </si>
  <si>
    <t>w01d4</t>
  </si>
  <si>
    <t>w01d5</t>
  </si>
  <si>
    <t>w01d6</t>
  </si>
  <si>
    <t>w08d0</t>
  </si>
  <si>
    <t>220</t>
  </si>
  <si>
    <t>250</t>
  </si>
  <si>
    <t>610</t>
  </si>
  <si>
    <t>930</t>
  </si>
  <si>
    <t>d10</t>
  </si>
  <si>
    <t>d20</t>
  </si>
  <si>
    <t>d30</t>
  </si>
  <si>
    <t>d40</t>
  </si>
  <si>
    <t>w02d1</t>
  </si>
  <si>
    <t>w02d2</t>
  </si>
  <si>
    <t>w02d3</t>
  </si>
  <si>
    <t>w02d4</t>
  </si>
  <si>
    <t>w02d5</t>
  </si>
  <si>
    <t>w02d6</t>
  </si>
  <si>
    <t>w03d1</t>
  </si>
  <si>
    <t>w03d2</t>
  </si>
  <si>
    <t>w03d3</t>
  </si>
  <si>
    <t>w03d4</t>
  </si>
  <si>
    <t>w03d5</t>
  </si>
  <si>
    <t>w03d6</t>
  </si>
  <si>
    <t>w04d1</t>
  </si>
  <si>
    <t>w04d2</t>
  </si>
  <si>
    <t>w04d3</t>
  </si>
  <si>
    <t>w04d4</t>
  </si>
  <si>
    <t>w04d5</t>
  </si>
  <si>
    <t>w04d6</t>
  </si>
  <si>
    <t>w05d0</t>
  </si>
  <si>
    <t>w05d1</t>
  </si>
  <si>
    <t>w05d2</t>
  </si>
  <si>
    <t>w05d3</t>
  </si>
  <si>
    <t>w05d4</t>
  </si>
  <si>
    <t>w05d5</t>
  </si>
  <si>
    <t>w05d6</t>
  </si>
  <si>
    <t>w06d0</t>
  </si>
  <si>
    <t>w06d1</t>
  </si>
  <si>
    <t>w06d2</t>
  </si>
  <si>
    <t>w06d3</t>
  </si>
  <si>
    <t>w06d4</t>
  </si>
  <si>
    <t>w06d5</t>
  </si>
  <si>
    <t>w06d6</t>
  </si>
  <si>
    <t>w07d0</t>
  </si>
  <si>
    <t>w07d1</t>
  </si>
  <si>
    <t>w07d2</t>
  </si>
  <si>
    <t>w07d3</t>
  </si>
  <si>
    <t>w07d4</t>
  </si>
  <si>
    <t>w07d5</t>
  </si>
  <si>
    <t>w07d6</t>
  </si>
  <si>
    <t>w08d1</t>
  </si>
  <si>
    <t>w08d2</t>
  </si>
  <si>
    <t>w08d3</t>
  </si>
  <si>
    <t>w08d4</t>
  </si>
  <si>
    <t>w08d5</t>
  </si>
  <si>
    <t>w08d6</t>
  </si>
  <si>
    <t>w09d0</t>
  </si>
  <si>
    <t>w09d1</t>
  </si>
  <si>
    <t>w09d2</t>
  </si>
  <si>
    <t>w09d3</t>
  </si>
  <si>
    <t>w09d4</t>
  </si>
  <si>
    <t>w09d5</t>
  </si>
  <si>
    <t>w09d6</t>
  </si>
  <si>
    <t>w10d0</t>
  </si>
  <si>
    <t>w10d1</t>
  </si>
  <si>
    <t>w10d2</t>
  </si>
  <si>
    <t>w10d3</t>
  </si>
  <si>
    <t>w10d4</t>
  </si>
  <si>
    <t>w10d5</t>
  </si>
  <si>
    <t>w10d6</t>
  </si>
  <si>
    <t>w11d0</t>
  </si>
  <si>
    <t>w11d1</t>
  </si>
  <si>
    <t>w11d2</t>
  </si>
  <si>
    <t>w11d3</t>
  </si>
  <si>
    <t>w11d4</t>
  </si>
  <si>
    <t>w11d5</t>
  </si>
  <si>
    <t>w11d6</t>
  </si>
  <si>
    <t>w12d0</t>
  </si>
  <si>
    <t>w12d1</t>
  </si>
  <si>
    <t>w12d2</t>
  </si>
  <si>
    <t>w12d3</t>
  </si>
  <si>
    <t>w12d4</t>
  </si>
  <si>
    <t>w12d5</t>
  </si>
  <si>
    <t>w12d6</t>
  </si>
  <si>
    <t>w13d0</t>
  </si>
  <si>
    <t>w13d1</t>
  </si>
  <si>
    <t>w13d2</t>
  </si>
  <si>
    <t>w13d3</t>
  </si>
  <si>
    <t>w13d4</t>
  </si>
  <si>
    <t>w13d5</t>
  </si>
  <si>
    <t>w13d6</t>
  </si>
  <si>
    <t>w14d0</t>
  </si>
  <si>
    <t>w14d1</t>
  </si>
  <si>
    <t>w14d2</t>
  </si>
  <si>
    <t>w14d3</t>
  </si>
  <si>
    <t>w14d4</t>
  </si>
  <si>
    <t>w14d5</t>
  </si>
  <si>
    <t>w14d6</t>
  </si>
  <si>
    <t>w15d0</t>
  </si>
  <si>
    <t>w15d1</t>
  </si>
  <si>
    <t>w15d2</t>
  </si>
  <si>
    <t>w15d3</t>
  </si>
  <si>
    <t>w15d4</t>
  </si>
  <si>
    <t>w15d5</t>
  </si>
  <si>
    <t>w15d6</t>
  </si>
  <si>
    <t>w16d0</t>
  </si>
  <si>
    <t>w16d1</t>
  </si>
  <si>
    <t>w16d2</t>
  </si>
  <si>
    <t>w16d3</t>
  </si>
  <si>
    <t>w16d4</t>
  </si>
  <si>
    <t>w16d5</t>
  </si>
  <si>
    <t>w16d6</t>
  </si>
  <si>
    <t>w17d0</t>
  </si>
  <si>
    <t>w17d1</t>
  </si>
  <si>
    <t>w17d2</t>
  </si>
  <si>
    <t>w17d3</t>
  </si>
  <si>
    <t>w17d4</t>
  </si>
  <si>
    <t>w17d5</t>
  </si>
  <si>
    <t>w17d6</t>
  </si>
  <si>
    <t>w18d0</t>
  </si>
  <si>
    <t>w18d1</t>
  </si>
  <si>
    <t>w18d2</t>
  </si>
  <si>
    <t>w18d3</t>
  </si>
  <si>
    <t>w18d4</t>
  </si>
  <si>
    <t>w18d5</t>
  </si>
  <si>
    <t>w18d6</t>
  </si>
  <si>
    <t>w19d0</t>
  </si>
  <si>
    <t>w19d1</t>
  </si>
  <si>
    <t>w19d2</t>
  </si>
  <si>
    <t>w19d3</t>
  </si>
  <si>
    <t>w19d4</t>
  </si>
  <si>
    <t>w19d5</t>
  </si>
  <si>
    <t>w19d6</t>
  </si>
  <si>
    <t>w20d0</t>
  </si>
  <si>
    <t>w20d1</t>
  </si>
  <si>
    <t>w20d2</t>
  </si>
  <si>
    <t>w20d3</t>
  </si>
  <si>
    <t>w20d4</t>
  </si>
  <si>
    <t>w20d5</t>
  </si>
  <si>
    <t>w20d6</t>
  </si>
  <si>
    <t>w21d0</t>
  </si>
  <si>
    <t>w21d1</t>
  </si>
  <si>
    <t>w21d2</t>
  </si>
  <si>
    <t>w21d3</t>
  </si>
  <si>
    <t>w21d4</t>
  </si>
  <si>
    <t>w21d5</t>
  </si>
  <si>
    <t>w21d6</t>
  </si>
  <si>
    <t>w22d0</t>
  </si>
  <si>
    <t>w22d1</t>
  </si>
  <si>
    <t>w22d2</t>
  </si>
  <si>
    <t>w22d3</t>
  </si>
  <si>
    <t>w22d4</t>
  </si>
  <si>
    <t>w22d5</t>
  </si>
  <si>
    <t>w22d6</t>
  </si>
  <si>
    <t>w23d0</t>
  </si>
  <si>
    <t>w23d1</t>
  </si>
  <si>
    <t>w23d2</t>
  </si>
  <si>
    <t>w23d3</t>
  </si>
  <si>
    <t>w23d4</t>
  </si>
  <si>
    <t>w23d5</t>
  </si>
  <si>
    <t>w23d6</t>
  </si>
  <si>
    <t>w24d0</t>
  </si>
  <si>
    <t>w24d1</t>
  </si>
  <si>
    <t>w24d2</t>
  </si>
  <si>
    <t>w24d3</t>
  </si>
  <si>
    <t>w24d4</t>
  </si>
  <si>
    <t>w24d5</t>
  </si>
  <si>
    <t>w24d6</t>
  </si>
  <si>
    <t>w25d0</t>
  </si>
  <si>
    <t>w25d1</t>
  </si>
  <si>
    <t>w25d2</t>
  </si>
  <si>
    <t>w25d3</t>
  </si>
  <si>
    <t>w25d4</t>
  </si>
  <si>
    <t>w25d5</t>
  </si>
  <si>
    <t>w25d6</t>
  </si>
  <si>
    <t>w26d0</t>
  </si>
  <si>
    <t>w26d1</t>
  </si>
  <si>
    <t>w26d2</t>
  </si>
  <si>
    <t>w26d3</t>
  </si>
  <si>
    <t>w26d4</t>
  </si>
  <si>
    <t>w26d5</t>
  </si>
  <si>
    <t>w26d6</t>
  </si>
  <si>
    <t>w27d0</t>
  </si>
  <si>
    <t>w27d1</t>
  </si>
  <si>
    <t>w27d2</t>
  </si>
  <si>
    <t>w27d3</t>
  </si>
  <si>
    <t>w27d4</t>
  </si>
  <si>
    <t>w27d5</t>
  </si>
  <si>
    <t>w27d6</t>
  </si>
  <si>
    <t>w28d0</t>
  </si>
  <si>
    <t>w28d1</t>
  </si>
  <si>
    <t>w28d2</t>
  </si>
  <si>
    <t>w28d3</t>
  </si>
  <si>
    <t>w28d4</t>
  </si>
  <si>
    <t>w28d5</t>
  </si>
  <si>
    <t>w28d6</t>
  </si>
  <si>
    <t>w29d0</t>
  </si>
  <si>
    <t>w29d1</t>
  </si>
  <si>
    <t>w29d2</t>
  </si>
  <si>
    <t>w29d3</t>
  </si>
  <si>
    <t>w29d4</t>
  </si>
  <si>
    <t>w29d5</t>
  </si>
  <si>
    <t>w29d6</t>
  </si>
  <si>
    <t>w30d0</t>
  </si>
  <si>
    <t>w30d1</t>
  </si>
  <si>
    <t>w30d2</t>
  </si>
  <si>
    <t>w30d3</t>
  </si>
  <si>
    <t>w30d4</t>
  </si>
  <si>
    <t>w30d5</t>
  </si>
  <si>
    <t>w30d6</t>
  </si>
  <si>
    <t>w31d0</t>
  </si>
  <si>
    <t>w31d1</t>
  </si>
  <si>
    <t>w31d2</t>
  </si>
  <si>
    <t>w31d3</t>
  </si>
  <si>
    <t>w31d4</t>
  </si>
  <si>
    <t>w31d5</t>
  </si>
  <si>
    <t>w31d6</t>
  </si>
  <si>
    <t>w32d0</t>
  </si>
  <si>
    <t>w32d1</t>
  </si>
  <si>
    <t>w32d2</t>
  </si>
  <si>
    <t>w32d3</t>
  </si>
  <si>
    <t>w32d4</t>
  </si>
  <si>
    <t>w32d5</t>
  </si>
  <si>
    <t>w32d6</t>
  </si>
  <si>
    <t>w33d0</t>
  </si>
  <si>
    <t>w33d1</t>
  </si>
  <si>
    <t>w33d2</t>
  </si>
  <si>
    <t>w33d3</t>
  </si>
  <si>
    <t>w33d4</t>
  </si>
  <si>
    <t>w33d5</t>
  </si>
  <si>
    <t>w33d6</t>
  </si>
  <si>
    <t>w34d0</t>
  </si>
  <si>
    <t>w34d1</t>
  </si>
  <si>
    <t>w34d2</t>
  </si>
  <si>
    <t>w34d3</t>
  </si>
  <si>
    <t>w34d4</t>
  </si>
  <si>
    <t>w34d5</t>
  </si>
  <si>
    <t>w34d6</t>
  </si>
  <si>
    <t>w00d3</t>
  </si>
  <si>
    <t>w00d4</t>
  </si>
  <si>
    <t>w00d5</t>
  </si>
  <si>
    <t>w00d6</t>
  </si>
  <si>
    <t>대림 제1주간 수요일</t>
  </si>
  <si>
    <t>대림 제1주간 목요일</t>
  </si>
  <si>
    <t>대림 제1주간 금요일</t>
  </si>
  <si>
    <t>대림 제1주간 토요일</t>
  </si>
  <si>
    <t>대림 제2주일</t>
  </si>
  <si>
    <t>대림 제2주간 월요일</t>
  </si>
  <si>
    <t>대림 제2주간 화요일</t>
  </si>
  <si>
    <t>대림 제2주간 수요일</t>
  </si>
  <si>
    <t>대림 제2주간 목요일</t>
  </si>
  <si>
    <t>대림 제2주간 금요일</t>
  </si>
  <si>
    <t>대림 제2주간 토요일</t>
  </si>
  <si>
    <t>대림 제3주일</t>
  </si>
  <si>
    <t>대림 제3주간 월요일</t>
  </si>
  <si>
    <t>대림 제3주간 화요일</t>
  </si>
  <si>
    <t>대림 제3주간 수요일</t>
  </si>
  <si>
    <t>대림 제3주간 목요일</t>
  </si>
  <si>
    <t>대림 제3주간 금요일</t>
  </si>
  <si>
    <t>대림 제4주일</t>
  </si>
  <si>
    <t>주님 공현 전 월요일</t>
  </si>
  <si>
    <t>주님 공현 전 화요일</t>
  </si>
  <si>
    <t>주님 공현 전 수요일</t>
  </si>
  <si>
    <t>주님 공현 전 목요일</t>
  </si>
  <si>
    <t>주님 공현 전 금요일</t>
  </si>
  <si>
    <t>주님 공현 전 토요일</t>
  </si>
  <si>
    <t>주님 공현 후 월요일</t>
  </si>
  <si>
    <t>주님 공현 후 화요일</t>
  </si>
  <si>
    <t>주님 공현 후 수요일</t>
  </si>
  <si>
    <t>주님 공현 후 목요일</t>
  </si>
  <si>
    <t>주님 공현 후 금요일</t>
  </si>
  <si>
    <t>주님 공현 후 토요일</t>
  </si>
  <si>
    <t>연중 제1주간 월요일</t>
  </si>
  <si>
    <t>연중 제1주간 화요일</t>
  </si>
  <si>
    <t>연중 제1주간 수요일</t>
  </si>
  <si>
    <t>연중 제1주간 목요일</t>
  </si>
  <si>
    <t>연중 제1주간 금요일</t>
  </si>
  <si>
    <t>연중 제1주간 토요일</t>
  </si>
  <si>
    <t>연중 제2주일</t>
  </si>
  <si>
    <t>연중 제2주간 월요일</t>
  </si>
  <si>
    <t>연중 제2주간 화요일</t>
  </si>
  <si>
    <t>연중 제2주간 수요일</t>
  </si>
  <si>
    <t>연중 제2주간 목요일</t>
  </si>
  <si>
    <t>연중 제2주간 금요일</t>
  </si>
  <si>
    <t>연중 제2주간 토요일</t>
  </si>
  <si>
    <t>연중 제3주일</t>
  </si>
  <si>
    <t>연중 제3주간 월요일</t>
  </si>
  <si>
    <t>연중 제3주간 화요일</t>
  </si>
  <si>
    <t>연중 제3주간 수요일</t>
  </si>
  <si>
    <t>연중 제3주간 목요일</t>
  </si>
  <si>
    <t>연중 제3주간 금요일</t>
  </si>
  <si>
    <t>연중 제3주간 토요일</t>
  </si>
  <si>
    <t>연중 제4주일</t>
  </si>
  <si>
    <t>연중 제4주간 월요일</t>
  </si>
  <si>
    <t>연중 제4주간 화요일</t>
  </si>
  <si>
    <t>연중 제4주간 수요일</t>
  </si>
  <si>
    <t>연중 제4주간 목요일</t>
  </si>
  <si>
    <t>연중 제4주간 금요일</t>
  </si>
  <si>
    <t>연중 제4주간 토요일</t>
  </si>
  <si>
    <t>연중 제5주일</t>
  </si>
  <si>
    <t>연중 제5주간 월요일</t>
  </si>
  <si>
    <t>연중 제5주간 화요일</t>
  </si>
  <si>
    <t>연중 제5주간 수요일</t>
  </si>
  <si>
    <t>연중 제5주간 목요일</t>
  </si>
  <si>
    <t>연중 제5주간 금요일</t>
  </si>
  <si>
    <t>연중 제5주간 토요일</t>
  </si>
  <si>
    <t>연중 제6주일</t>
  </si>
  <si>
    <t>연중 제6주간 월요일</t>
  </si>
  <si>
    <t>연중 제6주간 화요일</t>
  </si>
  <si>
    <t>연중 제6주간 수요일</t>
  </si>
  <si>
    <t>연중 제6주간 목요일</t>
  </si>
  <si>
    <t>연중 제6주간 금요일</t>
  </si>
  <si>
    <t>연중 제6주간 토요일</t>
  </si>
  <si>
    <t>연중 제7주일</t>
  </si>
  <si>
    <t>연중 제7주간 월요일</t>
  </si>
  <si>
    <t>연중 제7주간 화요일</t>
  </si>
  <si>
    <t>연중 제7주간 수요일</t>
  </si>
  <si>
    <t>연중 제7주간 목요일</t>
  </si>
  <si>
    <t>연중 제7주간 금요일</t>
  </si>
  <si>
    <t>연중 제7주간 토요일</t>
  </si>
  <si>
    <t>연중 제8주일</t>
  </si>
  <si>
    <t>연중 제8주간 월요일</t>
  </si>
  <si>
    <t>연중 제8주간 화요일</t>
  </si>
  <si>
    <t>연중 제8주간 수요일</t>
  </si>
  <si>
    <t>연중 제8주간 목요일</t>
  </si>
  <si>
    <t>연중 제8주간 금요일</t>
  </si>
  <si>
    <t>연중 제8주간 토요일</t>
  </si>
  <si>
    <t>연중 제9주일</t>
  </si>
  <si>
    <t>연중 제9주간 월요일</t>
  </si>
  <si>
    <t>연중 제9주간 화요일</t>
  </si>
  <si>
    <t>연중 제9주간 수요일</t>
  </si>
  <si>
    <t>연중 제9주간 목요일</t>
  </si>
  <si>
    <t>연중 제9주간 금요일</t>
  </si>
  <si>
    <t>연중 제9주간 토요일</t>
  </si>
  <si>
    <t>연중 제10주일</t>
  </si>
  <si>
    <t>연중 제10주간 월요일</t>
  </si>
  <si>
    <t>연중 제10주간 화요일</t>
  </si>
  <si>
    <t>연중 제10주간 수요일</t>
  </si>
  <si>
    <t>연중 제10주간 목요일</t>
  </si>
  <si>
    <t>연중 제10주간 금요일</t>
  </si>
  <si>
    <t>연중 제10주간 토요일</t>
  </si>
  <si>
    <t>연중 제11주일</t>
  </si>
  <si>
    <t>연중 제11주간 월요일</t>
  </si>
  <si>
    <t>연중 제11주간 화요일</t>
  </si>
  <si>
    <t>연중 제11주간 수요일</t>
  </si>
  <si>
    <t>연중 제11주간 목요일</t>
  </si>
  <si>
    <t>연중 제11주간 금요일</t>
  </si>
  <si>
    <t>연중 제11주간 토요일</t>
  </si>
  <si>
    <t>연중 제12주일</t>
  </si>
  <si>
    <t>연중 제12주간 월요일</t>
  </si>
  <si>
    <t>연중 제12주간 화요일</t>
  </si>
  <si>
    <t>연중 제12주간 수요일</t>
  </si>
  <si>
    <t>연중 제12주간 목요일</t>
  </si>
  <si>
    <t>연중 제12주간 금요일</t>
  </si>
  <si>
    <t>연중 제12주간 토요일</t>
  </si>
  <si>
    <t>연중 제13주일</t>
  </si>
  <si>
    <t>연중 제13주간 월요일</t>
  </si>
  <si>
    <t>연중 제13주간 화요일</t>
  </si>
  <si>
    <t>연중 제13주간 수요일</t>
  </si>
  <si>
    <t>연중 제13주간 목요일</t>
  </si>
  <si>
    <t>연중 제13주간 금요일</t>
  </si>
  <si>
    <t>연중 제13주간 토요일</t>
  </si>
  <si>
    <t>연중 제14주일</t>
  </si>
  <si>
    <t>연중 제14주간 월요일</t>
  </si>
  <si>
    <t>연중 제14주간 화요일</t>
  </si>
  <si>
    <t>연중 제14주간 수요일</t>
  </si>
  <si>
    <t>연중 제14주간 목요일</t>
  </si>
  <si>
    <t>연중 제14주간 금요일</t>
  </si>
  <si>
    <t>연중 제14주간 토요일</t>
  </si>
  <si>
    <t>연중 제15주일</t>
  </si>
  <si>
    <t>연중 제15주간 월요일</t>
  </si>
  <si>
    <t>연중 제15주간 화요일</t>
  </si>
  <si>
    <t>연중 제15주간 수요일</t>
  </si>
  <si>
    <t>연중 제15주간 목요일</t>
  </si>
  <si>
    <t>연중 제15주간 금요일</t>
  </si>
  <si>
    <t>연중 제15주간 토요일</t>
  </si>
  <si>
    <t>연중 제16주일</t>
  </si>
  <si>
    <t>연중 제16주간 월요일</t>
  </si>
  <si>
    <t>연중 제16주간 화요일</t>
  </si>
  <si>
    <t>연중 제16주간 수요일</t>
  </si>
  <si>
    <t>연중 제16주간 목요일</t>
  </si>
  <si>
    <t>연중 제16주간 금요일</t>
  </si>
  <si>
    <t>연중 제16주간 토요일</t>
  </si>
  <si>
    <t>연중 제17주일</t>
  </si>
  <si>
    <t>연중 제17주간 월요일</t>
  </si>
  <si>
    <t>연중 제17주간 화요일</t>
  </si>
  <si>
    <t>연중 제17주간 수요일</t>
  </si>
  <si>
    <t>연중 제17주간 목요일</t>
  </si>
  <si>
    <t>연중 제17주간 금요일</t>
  </si>
  <si>
    <t>연중 제17주간 토요일</t>
  </si>
  <si>
    <t>연중 제18주일</t>
  </si>
  <si>
    <t>연중 제18주간 월요일</t>
  </si>
  <si>
    <t>연중 제18주간 화요일</t>
  </si>
  <si>
    <t>연중 제18주간 수요일</t>
  </si>
  <si>
    <t>연중 제18주간 목요일</t>
  </si>
  <si>
    <t>연중 제18주간 금요일</t>
  </si>
  <si>
    <t>연중 제18주간 토요일</t>
  </si>
  <si>
    <t>연중 제19주일</t>
  </si>
  <si>
    <t>연중 제19주간 월요일</t>
  </si>
  <si>
    <t>연중 제19주간 화요일</t>
  </si>
  <si>
    <t>연중 제19주간 수요일</t>
  </si>
  <si>
    <t>연중 제19주간 목요일</t>
  </si>
  <si>
    <t>연중 제19주간 금요일</t>
  </si>
  <si>
    <t>연중 제19주간 토요일</t>
  </si>
  <si>
    <t>연중 제20주일</t>
  </si>
  <si>
    <t>연중 제20주간 월요일</t>
  </si>
  <si>
    <t>연중 제20주간 화요일</t>
  </si>
  <si>
    <t>연중 제20주간 수요일</t>
  </si>
  <si>
    <t>연중 제20주간 목요일</t>
  </si>
  <si>
    <t>연중 제20주간 금요일</t>
  </si>
  <si>
    <t>연중 제20주간 토요일</t>
  </si>
  <si>
    <t>연중 제21주일</t>
  </si>
  <si>
    <t>연중 제21주간 월요일</t>
  </si>
  <si>
    <t>연중 제21주간 화요일</t>
  </si>
  <si>
    <t>연중 제21주간 수요일</t>
  </si>
  <si>
    <t>연중 제21주간 목요일</t>
  </si>
  <si>
    <t>연중 제21주간 금요일</t>
  </si>
  <si>
    <t>연중 제21주간 토요일</t>
  </si>
  <si>
    <t>연중 제22주일</t>
  </si>
  <si>
    <t>연중 제22주간 월요일</t>
  </si>
  <si>
    <t>연중 제22주간 화요일</t>
  </si>
  <si>
    <t>연중 제22주간 수요일</t>
  </si>
  <si>
    <t>연중 제22주간 목요일</t>
  </si>
  <si>
    <t>연중 제22주간 금요일</t>
  </si>
  <si>
    <t>연중 제22주간 토요일</t>
  </si>
  <si>
    <t>연중 제23주일</t>
  </si>
  <si>
    <t>연중 제23주간 월요일</t>
  </si>
  <si>
    <t>연중 제23주간 화요일</t>
  </si>
  <si>
    <t>연중 제23주간 수요일</t>
  </si>
  <si>
    <t>연중 제23주간 목요일</t>
  </si>
  <si>
    <t>연중 제23주간 금요일</t>
  </si>
  <si>
    <t>연중 제23주간 토요일</t>
  </si>
  <si>
    <t>연중 제24주일</t>
  </si>
  <si>
    <t>연중 제24주간 월요일</t>
  </si>
  <si>
    <t>연중 제24주간 화요일</t>
  </si>
  <si>
    <t>연중 제24주간 수요일</t>
  </si>
  <si>
    <t>연중 제24주간 목요일</t>
  </si>
  <si>
    <t>연중 제24주간 금요일</t>
  </si>
  <si>
    <t>연중 제24주간 토요일</t>
  </si>
  <si>
    <t>연중 제25주일</t>
  </si>
  <si>
    <t>연중 제25주간 월요일</t>
  </si>
  <si>
    <t>연중 제25주간 화요일</t>
  </si>
  <si>
    <t>연중 제25주간 수요일</t>
  </si>
  <si>
    <t>연중 제25주간 목요일</t>
  </si>
  <si>
    <t>연중 제25주간 금요일</t>
  </si>
  <si>
    <t>연중 제25주간 토요일</t>
  </si>
  <si>
    <t>연중 제26주일</t>
  </si>
  <si>
    <t>연중 제26주간 월요일</t>
  </si>
  <si>
    <t>연중 제26주간 화요일</t>
  </si>
  <si>
    <t>연중 제26주간 수요일</t>
  </si>
  <si>
    <t>연중 제26주간 목요일</t>
  </si>
  <si>
    <t>연중 제26주간 금요일</t>
  </si>
  <si>
    <t>연중 제26주간 토요일</t>
  </si>
  <si>
    <t>연중 제27주일</t>
  </si>
  <si>
    <t>연중 제27주간 월요일</t>
  </si>
  <si>
    <t>연중 제27주간 화요일</t>
  </si>
  <si>
    <t>연중 제27주간 수요일</t>
  </si>
  <si>
    <t>연중 제27주간 목요일</t>
  </si>
  <si>
    <t>연중 제27주간 금요일</t>
  </si>
  <si>
    <t>연중 제27주간 토요일</t>
  </si>
  <si>
    <t>연중 제28주일</t>
  </si>
  <si>
    <t>연중 제28주간 월요일</t>
  </si>
  <si>
    <t>연중 제28주간 화요일</t>
  </si>
  <si>
    <t>연중 제28주간 수요일</t>
  </si>
  <si>
    <t>연중 제28주간 목요일</t>
  </si>
  <si>
    <t>연중 제28주간 금요일</t>
  </si>
  <si>
    <t>연중 제28주간 토요일</t>
  </si>
  <si>
    <t>연중 제29주일</t>
  </si>
  <si>
    <t>연중 제29주간 월요일</t>
  </si>
  <si>
    <t>연중 제29주간 화요일</t>
  </si>
  <si>
    <t>연중 제29주간 수요일</t>
  </si>
  <si>
    <t>연중 제29주간 목요일</t>
  </si>
  <si>
    <t>연중 제29주간 금요일</t>
  </si>
  <si>
    <t>연중 제29주간 토요일</t>
  </si>
  <si>
    <t>연중 제30주일</t>
  </si>
  <si>
    <t>연중 제30주간 월요일</t>
  </si>
  <si>
    <t>연중 제30주간 화요일</t>
  </si>
  <si>
    <t>연중 제30주간 수요일</t>
  </si>
  <si>
    <t>연중 제30주간 목요일</t>
  </si>
  <si>
    <t>연중 제30주간 금요일</t>
  </si>
  <si>
    <t>연중 제30주간 토요일</t>
  </si>
  <si>
    <t>연중 제31주일</t>
  </si>
  <si>
    <t>연중 제31주간 월요일</t>
  </si>
  <si>
    <t>연중 제31주간 화요일</t>
  </si>
  <si>
    <t>연중 제31주간 수요일</t>
  </si>
  <si>
    <t>연중 제31주간 목요일</t>
  </si>
  <si>
    <t>연중 제31주간 금요일</t>
  </si>
  <si>
    <t>연중 제31주간 토요일</t>
  </si>
  <si>
    <t>연중 제32주일</t>
  </si>
  <si>
    <t>연중 제32주간 월요일</t>
  </si>
  <si>
    <t>연중 제32주간 화요일</t>
  </si>
  <si>
    <t>연중 제32주간 수요일</t>
  </si>
  <si>
    <t>연중 제32주간 목요일</t>
  </si>
  <si>
    <t>연중 제32주간 금요일</t>
  </si>
  <si>
    <t>연중 제32주간 토요일</t>
  </si>
  <si>
    <t>연중 제33주일</t>
  </si>
  <si>
    <t>연중 제33주간 월요일</t>
  </si>
  <si>
    <t>연중 제33주간 화요일</t>
  </si>
  <si>
    <t>연중 제33주간 수요일</t>
  </si>
  <si>
    <t>연중 제33주간 목요일</t>
  </si>
  <si>
    <t>연중 제33주간 금요일</t>
  </si>
  <si>
    <t>연중 제33주간 토요일</t>
  </si>
  <si>
    <t>연중 제34주간 월요일</t>
  </si>
  <si>
    <t>연중 제34주간 화요일</t>
  </si>
  <si>
    <t>연중 제34주간 수요일</t>
  </si>
  <si>
    <t>연중 제34주간 목요일</t>
  </si>
  <si>
    <t>연중 제34주간 금요일</t>
  </si>
  <si>
    <t>연중 제34주간 토요일</t>
  </si>
  <si>
    <t>재의 예식 다음 목요일</t>
  </si>
  <si>
    <t>재의 예식 다음 금요일</t>
  </si>
  <si>
    <t>재의 예식 다음 토요일</t>
  </si>
  <si>
    <t>사순 제1주일</t>
  </si>
  <si>
    <t>사순 제1주간 월요일</t>
  </si>
  <si>
    <t>사순 제1주간 화요일</t>
  </si>
  <si>
    <t>사순 제1주간 수요일</t>
  </si>
  <si>
    <t>사순 제1주간 목요일</t>
  </si>
  <si>
    <t>사순 제1주간 금요일</t>
  </si>
  <si>
    <t>사순 제1주간 토요일</t>
  </si>
  <si>
    <t>사순 제2주일</t>
  </si>
  <si>
    <t>사순 제2주간 월요일</t>
  </si>
  <si>
    <t>사순 제2주간 화요일</t>
  </si>
  <si>
    <t>사순 제2주간 수요일</t>
  </si>
  <si>
    <t>사순 제2주간 목요일</t>
  </si>
  <si>
    <t>사순 제2주간 금요일</t>
  </si>
  <si>
    <t>사순 제2주간 토요일</t>
  </si>
  <si>
    <t>사순 제3주일</t>
  </si>
  <si>
    <t>사순 제3주간 월요일</t>
  </si>
  <si>
    <t>사순 제3주간 화요일</t>
  </si>
  <si>
    <t>사순 제3주간 수요일</t>
  </si>
  <si>
    <t>사순 제3주간 목요일</t>
  </si>
  <si>
    <t>사순 제3주간 금요일</t>
  </si>
  <si>
    <t>사순 제3주간 토요일</t>
  </si>
  <si>
    <t>사순 제4주일</t>
  </si>
  <si>
    <t>사순 제4주간 월요일</t>
  </si>
  <si>
    <t>사순 제4주간 화요일</t>
  </si>
  <si>
    <t>사순 제4주간 수요일</t>
  </si>
  <si>
    <t>사순 제4주간 목요일</t>
  </si>
  <si>
    <t>사순 제4주간 금요일</t>
  </si>
  <si>
    <t>사순 제4주간 토요일</t>
  </si>
  <si>
    <t>사순 제5주일</t>
  </si>
  <si>
    <t>사순 제5주간 월요일</t>
  </si>
  <si>
    <t>사순 제5주간 화요일</t>
  </si>
  <si>
    <t>사순 제5주간 수요일</t>
  </si>
  <si>
    <t>사순 제5주간 목요일</t>
  </si>
  <si>
    <t>사순 제5주간 금요일</t>
  </si>
  <si>
    <t>사순 제5주간 토요일</t>
  </si>
  <si>
    <t>부활 팔일 축제 월요일</t>
  </si>
  <si>
    <t>부활 팔일 축제 화요일</t>
  </si>
  <si>
    <t>부활 팔일 축제 수요일</t>
  </si>
  <si>
    <t>부활 팔일 축제 목요일</t>
  </si>
  <si>
    <t>부활 팔일 축제 금요일</t>
  </si>
  <si>
    <t>부활 팔일 축제 토요일</t>
  </si>
  <si>
    <t>부활 제2주일</t>
  </si>
  <si>
    <t>부활 제2주간 월요일</t>
  </si>
  <si>
    <t>부활 제2주간 화요일</t>
  </si>
  <si>
    <t>부활 제2주간 수요일</t>
  </si>
  <si>
    <t>부활 제2주간 목요일</t>
  </si>
  <si>
    <t>부활 제2주간 금요일</t>
  </si>
  <si>
    <t>부활 제2주간 토요일</t>
  </si>
  <si>
    <t>부활 제3주일</t>
  </si>
  <si>
    <t>부활 제3주간 월요일</t>
  </si>
  <si>
    <t>부활 제3주간 화요일</t>
  </si>
  <si>
    <t>부활 제3주간 수요일</t>
  </si>
  <si>
    <t>부활 제3주간 목요일</t>
  </si>
  <si>
    <t>부활 제3주간 금요일</t>
  </si>
  <si>
    <t>부활 제3주간 토요일</t>
  </si>
  <si>
    <t>부활 제4주일</t>
  </si>
  <si>
    <t>부활 제4주간 월요일</t>
  </si>
  <si>
    <t>부활 제4주간 화요일</t>
  </si>
  <si>
    <t>부활 제4주간 수요일</t>
  </si>
  <si>
    <t>부활 제4주간 목요일</t>
  </si>
  <si>
    <t>부활 제4주간 금요일</t>
  </si>
  <si>
    <t>부활 제4주간 토요일</t>
  </si>
  <si>
    <t>부활 제5주일</t>
  </si>
  <si>
    <t>부활 제5주간 월요일</t>
  </si>
  <si>
    <t>부활 제5주간 화요일</t>
  </si>
  <si>
    <t>부활 제5주간 수요일</t>
  </si>
  <si>
    <t>부활 제5주간 목요일</t>
  </si>
  <si>
    <t>부활 제5주간 금요일</t>
  </si>
  <si>
    <t>부활 제5주간 토요일</t>
  </si>
  <si>
    <t>부활 제6주일</t>
  </si>
  <si>
    <t>부활 제6주간 월요일</t>
  </si>
  <si>
    <t>부활 제6주간 화요일</t>
  </si>
  <si>
    <t>부활 제6주간 수요일</t>
  </si>
  <si>
    <t>부활 제6주간 목요일</t>
  </si>
  <si>
    <t>부활 제6주간 금요일</t>
  </si>
  <si>
    <t>부활 제6주간 토요일</t>
  </si>
  <si>
    <t>부활 제7주일</t>
  </si>
  <si>
    <t>부활 제7주간 월요일</t>
  </si>
  <si>
    <t>부활 제7주간 화요일</t>
  </si>
  <si>
    <t>부활 제7주간 수요일</t>
  </si>
  <si>
    <t>부활 제7주간 목요일</t>
  </si>
  <si>
    <t>부활 제7주간 금요일</t>
  </si>
  <si>
    <t>부활 제7주간 토요일</t>
  </si>
  <si>
    <t>00101000</t>
  </si>
  <si>
    <t>00000100</t>
  </si>
  <si>
    <t>Feria II Hebdomada I Adventus</t>
  </si>
  <si>
    <t>Dominica I Adventus</t>
  </si>
  <si>
    <t>S. FAMILIÆ IESU, MARIÆ ET IOSEPH</t>
  </si>
  <si>
    <t>IN BAPTISMATE DOMINI</t>
  </si>
  <si>
    <t>DOMINICA IN PALMIS DE PASSIONE DOMINI</t>
  </si>
  <si>
    <t>FERIA II INFRA OCTAVAM PASCHÆ</t>
  </si>
  <si>
    <t>eccma</t>
  </si>
  <si>
    <t>교회의 어머니 복되신 동정 마리아 기념일</t>
  </si>
  <si>
    <t>B. Mariæ Virginis Ecclesiæ Matris</t>
  </si>
  <si>
    <t>Feria III Hebdomada I Adventus</t>
  </si>
  <si>
    <t>Feria IV Hebdomada I Adventus</t>
  </si>
  <si>
    <t>Feria V Hebdomada I Adventus</t>
  </si>
  <si>
    <t>Feria VI Hebdomada I Adventus</t>
  </si>
  <si>
    <t>Sabbato Hebdomada I Adventus</t>
  </si>
  <si>
    <t>Dominica II Adventus</t>
  </si>
  <si>
    <t>Feria II Hebdomada II Adventus</t>
  </si>
  <si>
    <t>Feria III Hebdomada II Adventus</t>
  </si>
  <si>
    <t>Feria IV Hebdomada II Adventus</t>
  </si>
  <si>
    <t>Feria V Hebdomada II Adventus</t>
  </si>
  <si>
    <t>Feria VI Hebdomada II Adventus</t>
  </si>
  <si>
    <t>Sabbato Hebdomada II Adventus</t>
  </si>
  <si>
    <t>Dominica III Adventus</t>
  </si>
  <si>
    <t>Feria II Hebdomada III Adventus</t>
  </si>
  <si>
    <t>Feria III Hebdomada III Adventus</t>
  </si>
  <si>
    <t>Feria IV Hebdomada III Adventus</t>
  </si>
  <si>
    <t>Feria V Hebdomada III Adventus</t>
  </si>
  <si>
    <t>Feria VI Hebdomada III Adventus</t>
  </si>
  <si>
    <t>Dominica IV Adventus</t>
  </si>
  <si>
    <t>Feria II temporis Nativitatis</t>
  </si>
  <si>
    <t>Feria III temporis Nativitatis</t>
  </si>
  <si>
    <t>Feria IV temporis Nativitatis</t>
  </si>
  <si>
    <t>Feria V temporis Nativitatis</t>
  </si>
  <si>
    <t>Feria VI temporis Nativitatis</t>
  </si>
  <si>
    <t>Sabbato temporis Nativitatis</t>
  </si>
  <si>
    <t>Feria II post Epiphaniam</t>
  </si>
  <si>
    <t>Feria III post Epiphaniam</t>
  </si>
  <si>
    <t>Feria IV post Epiphaniam</t>
  </si>
  <si>
    <t>Feria V post Epiphaniam</t>
  </si>
  <si>
    <t>Feria VI post Epiphaniam</t>
  </si>
  <si>
    <t>Sabbato post Epiphaniam</t>
  </si>
  <si>
    <t>Feria II Hebdomada I "per annum"</t>
  </si>
  <si>
    <t>Feria III Hebdomada I "per annum"</t>
  </si>
  <si>
    <t>Feria IV Hebdomada I "per annum"</t>
  </si>
  <si>
    <t>Feria V Hebdomada I "per annum"</t>
  </si>
  <si>
    <t>Feria VI Hebdomada I "per annum"</t>
  </si>
  <si>
    <t>Sabbato Hebdomada I "per annum"</t>
  </si>
  <si>
    <t>Dominica II "per annum"</t>
  </si>
  <si>
    <t>Feria II Hebdomada II "per annum"</t>
  </si>
  <si>
    <t>Feria III Hebdomada II "per annum"</t>
  </si>
  <si>
    <t>Feria IV Hebdomada II "per annum"</t>
  </si>
  <si>
    <t>Feria V Hebdomada II "per annum"</t>
  </si>
  <si>
    <t>Feria VI Hebdomada II "per annum"</t>
  </si>
  <si>
    <t>Sabbato Hebdomada II "per annum"</t>
  </si>
  <si>
    <t>Dominica III "per annum"</t>
  </si>
  <si>
    <t>Feria II Hebdomada III "per annum"</t>
  </si>
  <si>
    <t>Feria III Hebdomada III "per annum"</t>
  </si>
  <si>
    <t>Feria IV Hebdomada III "per annum"</t>
  </si>
  <si>
    <t>Feria V Hebdomada III "per annum"</t>
  </si>
  <si>
    <t>Feria VI Hebdomada III "per annum"</t>
  </si>
  <si>
    <t>Sabbato Hebdomada III "per annum"</t>
  </si>
  <si>
    <t>Dominica IV "per annum"</t>
  </si>
  <si>
    <t>Feria II Hebdomada IV "per annum"</t>
  </si>
  <si>
    <t>Feria III Hebdomada IV "per annum"</t>
  </si>
  <si>
    <t>Feria IV Hebdomada IV "per annum"</t>
  </si>
  <si>
    <t>Feria V Hebdomada IV "per annum"</t>
  </si>
  <si>
    <t>Feria VI Hebdomada IV "per annum"</t>
  </si>
  <si>
    <t>Sabbato Hebdomada IV "per annum"</t>
  </si>
  <si>
    <t>Dominica V "per annum"</t>
  </si>
  <si>
    <t>Feria II Hebdomada V "per annum"</t>
  </si>
  <si>
    <t>Feria III Hebdomada V "per annum"</t>
  </si>
  <si>
    <t>Feria IV Hebdomada V "per annum"</t>
  </si>
  <si>
    <t>Feria V Hebdomada V "per annum"</t>
  </si>
  <si>
    <t>Feria VI Hebdomada V "per annum"</t>
  </si>
  <si>
    <t>Sabbato Hebdomada V "per annum"</t>
  </si>
  <si>
    <t>Dominica VI "per annum"</t>
  </si>
  <si>
    <t>Feria II Hebdomada VI "per annum"</t>
  </si>
  <si>
    <t>Feria III Hebdomada VI "per annum"</t>
  </si>
  <si>
    <t>Feria IV Hebdomada VI "per annum"</t>
  </si>
  <si>
    <t>Feria V Hebdomada VI "per annum"</t>
  </si>
  <si>
    <t>Feria VI Hebdomada VI "per annum"</t>
  </si>
  <si>
    <t>Sabbato Hebdomada VI "per annum"</t>
  </si>
  <si>
    <t>Dominica VII "per annum"</t>
  </si>
  <si>
    <t>Feria II Hebdomada VII "per annum"</t>
  </si>
  <si>
    <t>Feria III Hebdomada VII "per annum"</t>
  </si>
  <si>
    <t>Feria IV Hebdomada VII "per annum"</t>
  </si>
  <si>
    <t>Feria V Hebdomada VII "per annum"</t>
  </si>
  <si>
    <t>Feria VI Hebdomada VII "per annum"</t>
  </si>
  <si>
    <t>Sabbato Hebdomada VII "per annum"</t>
  </si>
  <si>
    <t>Dominica VIII "per annum"</t>
  </si>
  <si>
    <t>Feria II Hebdomada VIII "per annum"</t>
  </si>
  <si>
    <t>Feria III Hebdomada VIII "per annum"</t>
  </si>
  <si>
    <t>Feria IV Hebdomada VIII "per annum"</t>
  </si>
  <si>
    <t>Feria V Hebdomada VIII "per annum"</t>
  </si>
  <si>
    <t>Feria VI Hebdomada VIII "per annum"</t>
  </si>
  <si>
    <t>Sabbato Hebdomada VIII "per annum"</t>
  </si>
  <si>
    <t>Dominica IX "per annum"</t>
  </si>
  <si>
    <t>Feria II Hebdomada IX "per annum"</t>
  </si>
  <si>
    <t>Feria III Hebdomada IX "per annum"</t>
  </si>
  <si>
    <t>Feria IV Hebdomada IX "per annum"</t>
  </si>
  <si>
    <t>Feria V Hebdomada IX "per annum"</t>
  </si>
  <si>
    <t>Feria VI Hebdomada IX "per annum"</t>
  </si>
  <si>
    <t>Sabbato Hebdomada IX "per annum"</t>
  </si>
  <si>
    <t>Dominica X "per annum"</t>
  </si>
  <si>
    <t>Feria II Hebdomada X "per annum"</t>
  </si>
  <si>
    <t>Feria III Hebdomada X "per annum"</t>
  </si>
  <si>
    <t>Feria IV Hebdomada X "per annum"</t>
  </si>
  <si>
    <t>Feria V Hebdomada X "per annum"</t>
  </si>
  <si>
    <t>Feria VI Hebdomada X "per annum"</t>
  </si>
  <si>
    <t>Sabbato Hebdomada X "per annum"</t>
  </si>
  <si>
    <t>Dominica XI "per annum"</t>
  </si>
  <si>
    <t>Feria II Hebdomada XI "per annum"</t>
  </si>
  <si>
    <t>Feria III Hebdomada XI "per annum"</t>
  </si>
  <si>
    <t>Feria IV Hebdomada XI "per annum"</t>
  </si>
  <si>
    <t>Feria V Hebdomada XI "per annum"</t>
  </si>
  <si>
    <t>Feria VI Hebdomada XI "per annum"</t>
  </si>
  <si>
    <t>Sabbato Hebdomada XI "per annum"</t>
  </si>
  <si>
    <t>Dominica XII "per annum"</t>
  </si>
  <si>
    <t>Feria II Hebdomada XII "per annum"</t>
  </si>
  <si>
    <t>Feria III Hebdomada XII "per annum"</t>
  </si>
  <si>
    <t>Feria IV Hebdomada XII "per annum"</t>
  </si>
  <si>
    <t>Feria V Hebdomada XII "per annum"</t>
  </si>
  <si>
    <t>Feria VI Hebdomada XII "per annum"</t>
  </si>
  <si>
    <t>Sabbato Hebdomada XII "per annum"</t>
  </si>
  <si>
    <t>Dominica XIII "per annum"</t>
  </si>
  <si>
    <t>Feria II Hebdomada XIII "per annum"</t>
  </si>
  <si>
    <t>Feria III Hebdomada XIII "per annum"</t>
  </si>
  <si>
    <t>Feria IV Hebdomada XIII "per annum"</t>
  </si>
  <si>
    <t>Feria V Hebdomada XIII "per annum"</t>
  </si>
  <si>
    <t>Feria VI Hebdomada XIII "per annum"</t>
  </si>
  <si>
    <t>Sabbato Hebdomada XIII "per annum"</t>
  </si>
  <si>
    <t>Dominica XIV "per annum"</t>
  </si>
  <si>
    <t>Feria II Hebdomada XIV "per annum"</t>
  </si>
  <si>
    <t>Feria III Hebdomada XIV "per annum"</t>
  </si>
  <si>
    <t>Feria IV Hebdomada XIV "per annum"</t>
  </si>
  <si>
    <t>Feria V Hebdomada XIV "per annum"</t>
  </si>
  <si>
    <t>Feria VI Hebdomada XIV "per annum"</t>
  </si>
  <si>
    <t>Sabbato Hebdomada XIV "per annum"</t>
  </si>
  <si>
    <t>Dominica XV "per annum"</t>
  </si>
  <si>
    <t>Feria II Hebdomada XV "per annum"</t>
  </si>
  <si>
    <t>Feria III Hebdomada XV "per annum"</t>
  </si>
  <si>
    <t>Feria IV Hebdomada XV "per annum"</t>
  </si>
  <si>
    <t>Feria V Hebdomada XV "per annum"</t>
  </si>
  <si>
    <t>Feria VI Hebdomada XV "per annum"</t>
  </si>
  <si>
    <t>Sabbato Hebdomada XV "per annum"</t>
  </si>
  <si>
    <t>Dominica XVI "per annum"</t>
  </si>
  <si>
    <t>Feria II Hebdomada XVI "per annum"</t>
  </si>
  <si>
    <t>Feria III Hebdomada XVI "per annum"</t>
  </si>
  <si>
    <t>Feria IV Hebdomada XVI "per annum"</t>
  </si>
  <si>
    <t>Feria V Hebdomada XVI "per annum"</t>
  </si>
  <si>
    <t>Feria VI Hebdomada XVI "per annum"</t>
  </si>
  <si>
    <t>Sabbato Hebdomada XVI "per annum"</t>
  </si>
  <si>
    <t>Dominica XVII "per annum"</t>
  </si>
  <si>
    <t>Feria II Hebdomada XVII "per annum"</t>
  </si>
  <si>
    <t>Feria III Hebdomada XVII "per annum"</t>
  </si>
  <si>
    <t>Feria IV Hebdomada XVII "per annum"</t>
  </si>
  <si>
    <t>Feria V Hebdomada XVII "per annum"</t>
  </si>
  <si>
    <t>Feria VI Hebdomada XVII "per annum"</t>
  </si>
  <si>
    <t>Sabbato Hebdomada XVII "per annum"</t>
  </si>
  <si>
    <t>Dominica XVIII "per annum"</t>
  </si>
  <si>
    <t>Feria II Hebdomada XVIII "per annum"</t>
  </si>
  <si>
    <t>Feria III Hebdomada XVIII "per annum"</t>
  </si>
  <si>
    <t>Feria IV Hebdomada XVIII "per annum"</t>
  </si>
  <si>
    <t>Feria V Hebdomada XVIII "per annum"</t>
  </si>
  <si>
    <t>Feria VI Hebdomada XVIII "per annum"</t>
  </si>
  <si>
    <t>Sabbato Hebdomada XVIII "per annum"</t>
  </si>
  <si>
    <t>Dominica XIX "per annum"</t>
  </si>
  <si>
    <t>Feria II Hebdomada XIX "per annum"</t>
  </si>
  <si>
    <t>Feria III Hebdomada XIX "per annum"</t>
  </si>
  <si>
    <t>Feria IV Hebdomada XIX "per annum"</t>
  </si>
  <si>
    <t>Feria V Hebdomada XIX "per annum"</t>
  </si>
  <si>
    <t>Feria VI Hebdomada XIX "per annum"</t>
  </si>
  <si>
    <t>Sabbato Hebdomada XIX "per annum"</t>
  </si>
  <si>
    <t>Dominica XX "per annum"</t>
  </si>
  <si>
    <t>Feria II Hebdomada XX "per annum"</t>
  </si>
  <si>
    <t>Feria III Hebdomada XX "per annum"</t>
  </si>
  <si>
    <t>Feria IV Hebdomada XX "per annum"</t>
  </si>
  <si>
    <t>Feria V Hebdomada XX "per annum"</t>
  </si>
  <si>
    <t>Feria VI Hebdomada XX "per annum"</t>
  </si>
  <si>
    <t>Sabbato Hebdomada XX "per annum"</t>
  </si>
  <si>
    <t>Dominica XXI "per annum"</t>
  </si>
  <si>
    <t>Feria II Hebdomada XXI "per annum"</t>
  </si>
  <si>
    <t>Feria III Hebdomada XXI "per annum"</t>
  </si>
  <si>
    <t>Feria IV Hebdomada XXI "per annum"</t>
  </si>
  <si>
    <t>Feria V Hebdomada XXI "per annum"</t>
  </si>
  <si>
    <t>Feria VI Hebdomada XXI "per annum"</t>
  </si>
  <si>
    <t>Sabbato Hebdomada XXI "per annum"</t>
  </si>
  <si>
    <t>Dominica XXII "per annum"</t>
  </si>
  <si>
    <t>Feria II Hebdomada XXII "per annum"</t>
  </si>
  <si>
    <t>Feria III Hebdomada XXII "per annum"</t>
  </si>
  <si>
    <t>Feria IV Hebdomada XXII "per annum"</t>
  </si>
  <si>
    <t>Feria V Hebdomada XXII "per annum"</t>
  </si>
  <si>
    <t>Feria VI Hebdomada XXII "per annum"</t>
  </si>
  <si>
    <t>Sabbato Hebdomada XXII "per annum"</t>
  </si>
  <si>
    <t>Dominica XXIII "per annum"</t>
  </si>
  <si>
    <t>Feria II Hebdomada XXIII "per annum"</t>
  </si>
  <si>
    <t>Feria III Hebdomada XXIII "per annum"</t>
  </si>
  <si>
    <t>Feria IV Hebdomada XXIII "per annum"</t>
  </si>
  <si>
    <t>Feria V Hebdomada XXIII "per annum"</t>
  </si>
  <si>
    <t>Feria VI Hebdomada XXIII "per annum"</t>
  </si>
  <si>
    <t>Sabbato Hebdomada XXIII "per annum"</t>
  </si>
  <si>
    <t>Dominica XXIV "per annum"</t>
  </si>
  <si>
    <t>Feria II Hebdomada XXIV "per annum"</t>
  </si>
  <si>
    <t>Feria III Hebdomada XXIV "per annum"</t>
  </si>
  <si>
    <t>Feria IV Hebdomada XXIV "per annum"</t>
  </si>
  <si>
    <t>Feria V Hebdomada XXIV "per annum"</t>
  </si>
  <si>
    <t>Feria VI Hebdomada XXIV "per annum"</t>
  </si>
  <si>
    <t>Sabbato Hebdomada XXIV "per annum"</t>
  </si>
  <si>
    <t>Dominica XXV "per annum"</t>
  </si>
  <si>
    <t>Feria II Hebdomada XXV "per annum"</t>
  </si>
  <si>
    <t>Feria III Hebdomada XXV "per annum"</t>
  </si>
  <si>
    <t>Feria IV Hebdomada XXV "per annum"</t>
  </si>
  <si>
    <t>Feria V Hebdomada XXV "per annum"</t>
  </si>
  <si>
    <t>Feria VI Hebdomada XXV "per annum"</t>
  </si>
  <si>
    <t>Sabbato Hebdomada XXV "per annum"</t>
  </si>
  <si>
    <t>Dominica XXVI "per annum"</t>
  </si>
  <si>
    <t>Feria II Hebdomada XXVI "per annum"</t>
  </si>
  <si>
    <t>Feria III Hebdomada XXVI "per annum"</t>
  </si>
  <si>
    <t>Feria IV Hebdomada XXVI "per annum"</t>
  </si>
  <si>
    <t>Feria V Hebdomada XXVI "per annum"</t>
  </si>
  <si>
    <t>Feria VI Hebdomada XXVI "per annum"</t>
  </si>
  <si>
    <t>Sabbato Hebdomada XXVI "per annum"</t>
  </si>
  <si>
    <t>Dominica XXVII "per annum"</t>
  </si>
  <si>
    <t>Feria II Hebdomada XXVII "per annum"</t>
  </si>
  <si>
    <t>Feria III Hebdomada XXVII "per annum"</t>
  </si>
  <si>
    <t>Feria IV Hebdomada XXVII "per annum"</t>
  </si>
  <si>
    <t>Feria V Hebdomada XXVII "per annum"</t>
  </si>
  <si>
    <t>Feria VI Hebdomada XXVII "per annum"</t>
  </si>
  <si>
    <t>Sabbato Hebdomada XXVII "per annum"</t>
  </si>
  <si>
    <t>Dominica XXVIII "per annum"</t>
  </si>
  <si>
    <t>Feria II Hebdomada XXVIII "per annum"</t>
  </si>
  <si>
    <t>Feria III Hebdomada XXVIII "per annum"</t>
  </si>
  <si>
    <t>Feria IV Hebdomada XXVIII "per annum"</t>
  </si>
  <si>
    <t>Feria V Hebdomada XXVIII "per annum"</t>
  </si>
  <si>
    <t>Feria VI Hebdomada XXVIII "per annum"</t>
  </si>
  <si>
    <t>Sabbato Hebdomada XXVIII "per annum"</t>
  </si>
  <si>
    <t>Dominica XXIX "per annum"</t>
  </si>
  <si>
    <t>Feria II Hebdomada XXIX "per annum"</t>
  </si>
  <si>
    <t>Feria III Hebdomada XXIX "per annum"</t>
  </si>
  <si>
    <t>Feria IV Hebdomada XXIX "per annum"</t>
  </si>
  <si>
    <t>Feria V Hebdomada XXIX "per annum"</t>
  </si>
  <si>
    <t>Feria VI Hebdomada XXIX "per annum"</t>
  </si>
  <si>
    <t>Sabbato Hebdomada XXIX "per annum"</t>
  </si>
  <si>
    <t>Dominica XXX "per annum"</t>
  </si>
  <si>
    <t>Feria II Hebdomada XXX "per annum"</t>
  </si>
  <si>
    <t>Feria III Hebdomada XXX "per annum"</t>
  </si>
  <si>
    <t>Feria IV Hebdomada XXX "per annum"</t>
  </si>
  <si>
    <t>Feria V Hebdomada XXX "per annum"</t>
  </si>
  <si>
    <t>Feria VI Hebdomada XXX "per annum"</t>
  </si>
  <si>
    <t>Sabbato Hebdomada XXX "per annum"</t>
  </si>
  <si>
    <t>Dominica XXXI "per annum"</t>
  </si>
  <si>
    <t>Feria II Hebdomada XXXI "per annum"</t>
  </si>
  <si>
    <t>Feria III Hebdomada XXXI "per annum"</t>
  </si>
  <si>
    <t>Feria IV Hebdomada XXXI "per annum"</t>
  </si>
  <si>
    <t>Feria V Hebdomada XXXI "per annum"</t>
  </si>
  <si>
    <t>Feria VI Hebdomada XXXI "per annum"</t>
  </si>
  <si>
    <t>Sabbato Hebdomada XXXI "per annum"</t>
  </si>
  <si>
    <t>Dominica XXXII "per annum"</t>
  </si>
  <si>
    <t>Feria II Hebdomada XXXII "per annum"</t>
  </si>
  <si>
    <t>Feria III Hebdomada XXXII "per annum"</t>
  </si>
  <si>
    <t>Feria IV Hebdomada XXXII "per annum"</t>
  </si>
  <si>
    <t>Feria V Hebdomada XXXII "per annum"</t>
  </si>
  <si>
    <t>Feria VI Hebdomada XXXII "per annum"</t>
  </si>
  <si>
    <t>Sabbato Hebdomada XXXII "per annum"</t>
  </si>
  <si>
    <t>Dominica XXXIII "per annum"</t>
  </si>
  <si>
    <t>Feria II Hebdomada XXXIII "per annum"</t>
  </si>
  <si>
    <t>Feria III Hebdomada XXXIII "per annum"</t>
  </si>
  <si>
    <t>Feria IV Hebdomada XXXIII "per annum"</t>
  </si>
  <si>
    <t>Feria V Hebdomada XXXIII "per annum"</t>
  </si>
  <si>
    <t>Feria VI Hebdomada XXXIII "per annum"</t>
  </si>
  <si>
    <t>Sabbato Hebdomada XXXIII "per annum"</t>
  </si>
  <si>
    <t>Feria II Hebdomada XXXIV "per annum"</t>
  </si>
  <si>
    <t>Feria III Hebdomada XXXIV "per annum"</t>
  </si>
  <si>
    <t>Feria IV Hebdomada XXXIV "per annum"</t>
  </si>
  <si>
    <t>Feria V Hebdomada XXXIV "per annum"</t>
  </si>
  <si>
    <t>Feria VI Hebdomada XXXIV "per annum"</t>
  </si>
  <si>
    <t>Sabbato Hebdomada XXXIV "per annum"</t>
  </si>
  <si>
    <t>Feria V post Cineres</t>
  </si>
  <si>
    <t>Feria VI post Cineres</t>
  </si>
  <si>
    <t>Sabbato post Cineres</t>
  </si>
  <si>
    <t>Dominica I Quadragesima</t>
  </si>
  <si>
    <t>Feria II Hebdomada I Quadragesima</t>
  </si>
  <si>
    <t>Feria III Hebdomada I Quadragesima</t>
  </si>
  <si>
    <t>Feria IV Hebdomada I Quadragesima</t>
  </si>
  <si>
    <t>Feria V Hebdomada I Quadragesima</t>
  </si>
  <si>
    <t>Feria VI Hebdomada I Quadragesima</t>
  </si>
  <si>
    <t>Sabbato Hebdomada I Quadragesima</t>
  </si>
  <si>
    <t>Dominica II Quadragesima</t>
  </si>
  <si>
    <t>Feria II Hebdomada II Quadragesima</t>
  </si>
  <si>
    <t>Feria III Hebdomada II Quadragesima</t>
  </si>
  <si>
    <t>Feria IV Hebdomada II Quadragesima</t>
  </si>
  <si>
    <t>Feria V Hebdomada II Quadragesima</t>
  </si>
  <si>
    <t>Feria VI Hebdomada II Quadragesima</t>
  </si>
  <si>
    <t>Sabbato Hebdomada II Quadragesima</t>
  </si>
  <si>
    <t>Dominica III Quadragesima</t>
  </si>
  <si>
    <t>Feria II Hebdomada III Quadragesima</t>
  </si>
  <si>
    <t>Feria III Hebdomada III Quadragesima</t>
  </si>
  <si>
    <t>Feria IV Hebdomada III Quadragesima</t>
  </si>
  <si>
    <t>Feria V Hebdomada III Quadragesima</t>
  </si>
  <si>
    <t>Feria VI Hebdomada III Quadragesima</t>
  </si>
  <si>
    <t>Sabbato Hebdomada III Quadragesima</t>
  </si>
  <si>
    <t>Dominica IV Quadragesima</t>
  </si>
  <si>
    <t>Feria II Hebdomada IV Quadragesima</t>
  </si>
  <si>
    <t>Feria III Hebdomada IV Quadragesima</t>
  </si>
  <si>
    <t>Feria IV Hebdomada IV Quadragesima</t>
  </si>
  <si>
    <t>Feria V Hebdomada IV Quadragesima</t>
  </si>
  <si>
    <t>Feria VI Hebdomada IV Quadragesima</t>
  </si>
  <si>
    <t>Sabbato Hebdomada IV Quadragesima</t>
  </si>
  <si>
    <t>Dominica V Quadragesima</t>
  </si>
  <si>
    <t>Feria II Hebdomada V Quadragesima</t>
  </si>
  <si>
    <t>Feria III Hebdomada V Quadragesima</t>
  </si>
  <si>
    <t>Feria IV Hebdomada V Quadragesima</t>
  </si>
  <si>
    <t>Feria V Hebdomada V Quadragesima</t>
  </si>
  <si>
    <t>Feria VI Hebdomada V Quadragesima</t>
  </si>
  <si>
    <t>Sabbato Hebdomada V Quadragesima</t>
  </si>
  <si>
    <t>FERIA III INFRA OCTAVAM PASCHÆ</t>
  </si>
  <si>
    <t>FERIA IV INFRA OCTAVAM PASCHÆ</t>
  </si>
  <si>
    <t>FERIA V INFRA OCTAVAM PASCHÆ</t>
  </si>
  <si>
    <t>FERIA VI INFRA OCTAVAM PASCHÆ</t>
  </si>
  <si>
    <t>SABBATO INFRA OCTAVAM PASCHÆ</t>
  </si>
  <si>
    <t>Dominica II Paschæ</t>
  </si>
  <si>
    <t>Feria II Hebdomada II Paschæ</t>
  </si>
  <si>
    <t>Feria III Hebdomada II Paschæ</t>
  </si>
  <si>
    <t>Feria IV Hebdomada II Paschæ</t>
  </si>
  <si>
    <t>Feria V Hebdomada II Paschæ</t>
  </si>
  <si>
    <t>Feria VI Hebdomada II Paschæ</t>
  </si>
  <si>
    <t>Sabbato Hebdomada II Paschæ</t>
  </si>
  <si>
    <t>Dominica III Paschæ</t>
  </si>
  <si>
    <t>Feria II Hebdomada III Paschæ</t>
  </si>
  <si>
    <t>Feria III Hebdomada III Paschæ</t>
  </si>
  <si>
    <t>Feria IV Hebdomada III Paschæ</t>
  </si>
  <si>
    <t>Feria V Hebdomada III Paschæ</t>
  </si>
  <si>
    <t>Feria VI Hebdomada III Paschæ</t>
  </si>
  <si>
    <t>Sabbato Hebdomada III Paschæ</t>
  </si>
  <si>
    <t>Dominica IV Paschæ</t>
  </si>
  <si>
    <t>Feria II Hebdomada IV Paschæ</t>
  </si>
  <si>
    <t>Feria III Hebdomada IV Paschæ</t>
  </si>
  <si>
    <t>Feria IV Hebdomada IV Paschæ</t>
  </si>
  <si>
    <t>Feria V Hebdomada IV Paschæ</t>
  </si>
  <si>
    <t>Feria VI Hebdomada IV Paschæ</t>
  </si>
  <si>
    <t>Sabbato Hebdomada IV Paschæ</t>
  </si>
  <si>
    <t>Dominica V Paschæ</t>
  </si>
  <si>
    <t>Feria II Hebdomada V Paschæ</t>
  </si>
  <si>
    <t>Feria III Hebdomada V Paschæ</t>
  </si>
  <si>
    <t>Feria IV Hebdomada V Paschæ</t>
  </si>
  <si>
    <t>Feria V Hebdomada V Paschæ</t>
  </si>
  <si>
    <t>Feria VI Hebdomada V Paschæ</t>
  </si>
  <si>
    <t>Sabbato Hebdomada V Paschæ</t>
  </si>
  <si>
    <t>Dominica VI Paschæ</t>
  </si>
  <si>
    <t>Feria II Hebdomada VI Paschæ</t>
  </si>
  <si>
    <t>Feria III Hebdomada VI Paschæ</t>
  </si>
  <si>
    <t>Feria IV Hebdomada VI Paschæ</t>
  </si>
  <si>
    <t>Feria V Hebdomada VI Paschæ</t>
  </si>
  <si>
    <t>Feria VI Hebdomada VI Paschæ</t>
  </si>
  <si>
    <t>Sabbato Hebdomada VI Paschæ</t>
  </si>
  <si>
    <t>Dominica VII Paschæ</t>
  </si>
  <si>
    <t>Feria II Hebdomada VII Paschæ</t>
  </si>
  <si>
    <t>Feria III Hebdomada VII Paschæ</t>
  </si>
  <si>
    <t>Feria IV Hebdomada VII Paschæ</t>
  </si>
  <si>
    <t>Feria V Hebdomada VII Paschæ</t>
  </si>
  <si>
    <t>Feria VI Hebdomada VII Paschæ</t>
  </si>
  <si>
    <t>Sabbato Hebdomada VII Paschæ</t>
  </si>
  <si>
    <t>1st Sunday of Advent</t>
  </si>
  <si>
    <t>2nd Sunday of Advent</t>
  </si>
  <si>
    <t>3rd Sunday of Advent</t>
  </si>
  <si>
    <t>4th Sunday of Advent</t>
  </si>
  <si>
    <t>Monday in the 1st Week of Advent</t>
  </si>
  <si>
    <t>Tuesday in the 1st Week of Advent</t>
  </si>
  <si>
    <t>Wednesday in the 1st Week of Advent</t>
  </si>
  <si>
    <t>Thursday in the 1st Week of Advent</t>
  </si>
  <si>
    <t>Friday in the 1st Week of Advent</t>
  </si>
  <si>
    <t>Saturday in the 1st Week of Advent</t>
  </si>
  <si>
    <t>Palm Sunday of the Passion of the Lord</t>
  </si>
  <si>
    <t>The Blessed Virgin Mary, Mother of the Church</t>
  </si>
  <si>
    <t>Monday in the 2nd Week of Advent</t>
  </si>
  <si>
    <t>Tuesday in the 2nd Week of Advent</t>
  </si>
  <si>
    <t>Wednesday in the 2nd Week of Advent</t>
  </si>
  <si>
    <t>Thursday in the 2nd Week of Advent</t>
  </si>
  <si>
    <t>Friday in the 2nd Week of Advent</t>
  </si>
  <si>
    <t>Saturday in the 2nd Week of Advent</t>
  </si>
  <si>
    <t>Monday in the 3rd Week of Advent</t>
  </si>
  <si>
    <t>Tuesday in the 3rd Week of Advent</t>
  </si>
  <si>
    <t>Wednesday in the 3rd Week of Advent</t>
  </si>
  <si>
    <t>Thursday in the 3rd Week of Advent</t>
  </si>
  <si>
    <t>Friday in the 3rd Week of Advent</t>
  </si>
  <si>
    <t>Monday of Christmas Time</t>
  </si>
  <si>
    <t>Tuesday of Christmas Time</t>
  </si>
  <si>
    <t>Wednesday of Christmas Time</t>
  </si>
  <si>
    <t>Thursday of Christmas Time</t>
  </si>
  <si>
    <t>Friday of Christmas Time</t>
  </si>
  <si>
    <t>Saturday of Christmas Time</t>
  </si>
  <si>
    <t>Monday after Epiphany</t>
  </si>
  <si>
    <t>Tuesday after Epiphany</t>
  </si>
  <si>
    <t>Wednesday after Epiphany</t>
  </si>
  <si>
    <t>Thursday after Epiphany</t>
  </si>
  <si>
    <t>Friday after Epiphany</t>
  </si>
  <si>
    <t>Saturday after Epiphany</t>
  </si>
  <si>
    <t>Monday in the 1st Week in Ordinary Time</t>
  </si>
  <si>
    <t>Tuesday in the 1st Week in Ordinary Time</t>
  </si>
  <si>
    <t>Wednesday in the 1st Week in Ordinary Time</t>
  </si>
  <si>
    <t>Thursday in the 1st Week in Ordinary Time</t>
  </si>
  <si>
    <t>Friday in the 1st Week in Ordinary Time</t>
  </si>
  <si>
    <t>Saturday in the 1st Week in Ordinary Time</t>
  </si>
  <si>
    <t>2nd Sunday in Ordinary Time</t>
  </si>
  <si>
    <t>Monday in the 2nd Week in Ordinary Time</t>
  </si>
  <si>
    <t>Tuesday in the 2nd Week in Ordinary Time</t>
  </si>
  <si>
    <t>Wednesday in the 2nd Week in Ordinary Time</t>
  </si>
  <si>
    <t>Thursday in the 2nd Week in Ordinary Time</t>
  </si>
  <si>
    <t>Friday in the 2nd Week in Ordinary Time</t>
  </si>
  <si>
    <t>Saturday in the 2nd Week in Ordinary Time</t>
  </si>
  <si>
    <t>3rd Sunday in Ordinary Time</t>
  </si>
  <si>
    <t>Monday in the 3rd Week in Ordinary Time</t>
  </si>
  <si>
    <t>Tuesday in the 3rd Week in Ordinary Time</t>
  </si>
  <si>
    <t>Wednesday in the 3rd Week in Ordinary Time</t>
  </si>
  <si>
    <t>Thursday in the 3rd Week in Ordinary Time</t>
  </si>
  <si>
    <t>Friday in the 3rd Week in Ordinary Time</t>
  </si>
  <si>
    <t>Saturday in the 3rd Week in Ordinary Time</t>
  </si>
  <si>
    <t>4th Sunday in Ordinary Time</t>
  </si>
  <si>
    <t>Monday in the 4th Week in Ordinary Time</t>
  </si>
  <si>
    <t>Tuesday in the 4th Week in Ordinary Time</t>
  </si>
  <si>
    <t>Wednesday in the 4th Week in Ordinary Time</t>
  </si>
  <si>
    <t>Thursday in the 4th Week in Ordinary Time</t>
  </si>
  <si>
    <t>Friday in the 4th Week in Ordinary Time</t>
  </si>
  <si>
    <t>Saturday in the 4th Week in Ordinary Time</t>
  </si>
  <si>
    <t>5th Sunday in Ordinary Time</t>
  </si>
  <si>
    <t>Monday in the 5th Week in Ordinary Time</t>
  </si>
  <si>
    <t>Tuesday in the 5th Week in Ordinary Time</t>
  </si>
  <si>
    <t>Wednesday in the 5th Week in Ordinary Time</t>
  </si>
  <si>
    <t>Thursday in the 5th Week in Ordinary Time</t>
  </si>
  <si>
    <t>Friday in the 5th Week in Ordinary Time</t>
  </si>
  <si>
    <t>Saturday in the 5th Week in Ordinary Time</t>
  </si>
  <si>
    <t>6th Sunday in Ordinary Time</t>
  </si>
  <si>
    <t>Monday in the 6th Week in Ordinary Time</t>
  </si>
  <si>
    <t>Tuesday in the 6th Week in Ordinary Time</t>
  </si>
  <si>
    <t>Wednesday in the 6th Week in Ordinary Time</t>
  </si>
  <si>
    <t>Thursday in the 6th Week in Ordinary Time</t>
  </si>
  <si>
    <t>Friday in the 6th Week in Ordinary Time</t>
  </si>
  <si>
    <t>Saturday in the 6th Week in Ordinary Time</t>
  </si>
  <si>
    <t>7th Sunday in Ordinary Time</t>
  </si>
  <si>
    <t>Monday in the 7th Week in Ordinary Time</t>
  </si>
  <si>
    <t>Tuesday in the 7th Week in Ordinary Time</t>
  </si>
  <si>
    <t>Wednesday in the 7th Week in Ordinary Time</t>
  </si>
  <si>
    <t>Thursday in the 7th Week in Ordinary Time</t>
  </si>
  <si>
    <t>Friday in the 7th Week in Ordinary Time</t>
  </si>
  <si>
    <t>Saturday in the 7th Week in Ordinary Time</t>
  </si>
  <si>
    <t>8th Sunday in Ordinary Time</t>
  </si>
  <si>
    <t>Monday in the 8th Week in Ordinary Time</t>
  </si>
  <si>
    <t>Tuesday in the 8th Week in Ordinary Time</t>
  </si>
  <si>
    <t>Wednesday in the 8th Week in Ordinary Time</t>
  </si>
  <si>
    <t>Thursday in the 8th Week in Ordinary Time</t>
  </si>
  <si>
    <t>Friday in the 8th Week in Ordinary Time</t>
  </si>
  <si>
    <t>Saturday in the 8th Week in Ordinary Time</t>
  </si>
  <si>
    <t>9th Sunday in Ordinary Time</t>
  </si>
  <si>
    <t>Monday in the 9th Week in Ordinary Time</t>
  </si>
  <si>
    <t>Tuesday in the 9th Week in Ordinary Time</t>
  </si>
  <si>
    <t>Wednesday in the 9th Week in Ordinary Time</t>
  </si>
  <si>
    <t>Thursday in the 9th Week in Ordinary Time</t>
  </si>
  <si>
    <t>Friday in the 9th Week in Ordinary Time</t>
  </si>
  <si>
    <t>Saturday in the 9th Week in Ordinary Time</t>
  </si>
  <si>
    <t>10th Sunday in Ordinary Time</t>
  </si>
  <si>
    <t>Monday in the 10th Week in Ordinary Time</t>
  </si>
  <si>
    <t>Tuesday in the 10th Week in Ordinary Time</t>
  </si>
  <si>
    <t>Wednesday in the 10th Week in Ordinary Time</t>
  </si>
  <si>
    <t>Thursday in the 10th Week in Ordinary Time</t>
  </si>
  <si>
    <t>Friday in the 10th Week in Ordinary Time</t>
  </si>
  <si>
    <t>Saturday in the 10th Week in Ordinary Time</t>
  </si>
  <si>
    <t>11th Sunday in Ordinary Time</t>
  </si>
  <si>
    <t>Monday in the 11th Week in Ordinary Time</t>
  </si>
  <si>
    <t>Tuesday in the 11th Week in Ordinary Time</t>
  </si>
  <si>
    <t>Wednesday in the 11th Week in Ordinary Time</t>
  </si>
  <si>
    <t>Thursday in the 11th Week in Ordinary Time</t>
  </si>
  <si>
    <t>Friday in the 11th Week in Ordinary Time</t>
  </si>
  <si>
    <t>Saturday in the 11th Week in Ordinary Time</t>
  </si>
  <si>
    <t>12th Sunday in Ordinary Time</t>
  </si>
  <si>
    <t>Monday in the 12th Week in Ordinary Time</t>
  </si>
  <si>
    <t>Tuesday in the 12th Week in Ordinary Time</t>
  </si>
  <si>
    <t>Wednesday in the 12th Week in Ordinary Time</t>
  </si>
  <si>
    <t>Thursday in the 12th Week in Ordinary Time</t>
  </si>
  <si>
    <t>Friday in the 12th Week in Ordinary Time</t>
  </si>
  <si>
    <t>Saturday in the 12th Week in Ordinary Time</t>
  </si>
  <si>
    <t>13th Sunday in Ordinary Time</t>
  </si>
  <si>
    <t>Monday in the 13th Week in Ordinary Time</t>
  </si>
  <si>
    <t>Tuesday in the 13th Week in Ordinary Time</t>
  </si>
  <si>
    <t>Wednesday in the 13th Week in Ordinary Time</t>
  </si>
  <si>
    <t>Thursday in the 13th Week in Ordinary Time</t>
  </si>
  <si>
    <t>Friday in the 13th Week in Ordinary Time</t>
  </si>
  <si>
    <t>Saturday in the 13th Week in Ordinary Time</t>
  </si>
  <si>
    <t>14th Sunday in Ordinary Time</t>
  </si>
  <si>
    <t>Monday in the 14th Week in Ordinary Time</t>
  </si>
  <si>
    <t>Tuesday in the 14th Week in Ordinary Time</t>
  </si>
  <si>
    <t>Wednesday in the 14th Week in Ordinary Time</t>
  </si>
  <si>
    <t>Thursday in the 14th Week in Ordinary Time</t>
  </si>
  <si>
    <t>Friday in the 14th Week in Ordinary Time</t>
  </si>
  <si>
    <t>Saturday in the 14th Week in Ordinary Time</t>
  </si>
  <si>
    <t>15th Sunday in Ordinary Time</t>
  </si>
  <si>
    <t>Monday in the 15th Week in Ordinary Time</t>
  </si>
  <si>
    <t>Tuesday in the 15th Week in Ordinary Time</t>
  </si>
  <si>
    <t>Wednesday in the 15th Week in Ordinary Time</t>
  </si>
  <si>
    <t>Thursday in the 15th Week in Ordinary Time</t>
  </si>
  <si>
    <t>Friday in the 15th Week in Ordinary Time</t>
  </si>
  <si>
    <t>Saturday in the 15th Week in Ordinary Time</t>
  </si>
  <si>
    <t>16th Sunday in Ordinary Time</t>
  </si>
  <si>
    <t>Monday in the 16th Week in Ordinary Time</t>
  </si>
  <si>
    <t>Tuesday in the 16th Week in Ordinary Time</t>
  </si>
  <si>
    <t>Wednesday in the 16th Week in Ordinary Time</t>
  </si>
  <si>
    <t>Thursday in the 16th Week in Ordinary Time</t>
  </si>
  <si>
    <t>Friday in the 16th Week in Ordinary Time</t>
  </si>
  <si>
    <t>Saturday in the 16th Week in Ordinary Time</t>
  </si>
  <si>
    <t>17th Sunday in Ordinary Time</t>
  </si>
  <si>
    <t>Monday in the 17th Week in Ordinary Time</t>
  </si>
  <si>
    <t>Tuesday in the 17th Week in Ordinary Time</t>
  </si>
  <si>
    <t>Wednesday in the 17th Week in Ordinary Time</t>
  </si>
  <si>
    <t>Thursday in the 17th Week in Ordinary Time</t>
  </si>
  <si>
    <t>Friday in the 17th Week in Ordinary Time</t>
  </si>
  <si>
    <t>Saturday in the 17th Week in Ordinary Time</t>
  </si>
  <si>
    <t>18th Sunday in Ordinary Time</t>
  </si>
  <si>
    <t>Monday in the 18th Week in Ordinary Time</t>
  </si>
  <si>
    <t>Tuesday in the 18th Week in Ordinary Time</t>
  </si>
  <si>
    <t>Wednesday in the 18th Week in Ordinary Time</t>
  </si>
  <si>
    <t>Thursday in the 18th Week in Ordinary Time</t>
  </si>
  <si>
    <t>Friday in the 18th Week in Ordinary Time</t>
  </si>
  <si>
    <t>Saturday in the 18th Week in Ordinary Time</t>
  </si>
  <si>
    <t>19th Sunday in Ordinary Time</t>
  </si>
  <si>
    <t>Monday in the 19th Week in Ordinary Time</t>
  </si>
  <si>
    <t>Tuesday in the 19th Week in Ordinary Time</t>
  </si>
  <si>
    <t>Wednesday in the 19th Week in Ordinary Time</t>
  </si>
  <si>
    <t>Thursday in the 19th Week in Ordinary Time</t>
  </si>
  <si>
    <t>Friday in the 19th Week in Ordinary Time</t>
  </si>
  <si>
    <t>Saturday in the 19th Week in Ordinary Time</t>
  </si>
  <si>
    <t>20th Sunday in Ordinary Time</t>
  </si>
  <si>
    <t>Monday in the 20th Week in Ordinary Time</t>
  </si>
  <si>
    <t>Tuesday in the 20th Week in Ordinary Time</t>
  </si>
  <si>
    <t>Wednesday in the 20th Week in Ordinary Time</t>
  </si>
  <si>
    <t>Thursday in the 20th Week in Ordinary Time</t>
  </si>
  <si>
    <t>Friday in the 20th Week in Ordinary Time</t>
  </si>
  <si>
    <t>Saturday in the 20th Week in Ordinary Time</t>
  </si>
  <si>
    <t>21st Sunday in Ordinary Time</t>
  </si>
  <si>
    <t>Monday in the 21st Week in Ordinary Time</t>
  </si>
  <si>
    <t>Tuesday in the 21st Week in Ordinary Time</t>
  </si>
  <si>
    <t>Wednesday in the 21st Week in Ordinary Time</t>
  </si>
  <si>
    <t>Thursday in the 21st Week in Ordinary Time</t>
  </si>
  <si>
    <t>Friday in the 21st Week in Ordinary Time</t>
  </si>
  <si>
    <t>Saturday in the 21st Week in Ordinary Time</t>
  </si>
  <si>
    <t>22nd Sunday in Ordinary Time</t>
  </si>
  <si>
    <t>Monday in the 22nd Week in Ordinary Time</t>
  </si>
  <si>
    <t>Tuesday in the 22nd Week in Ordinary Time</t>
  </si>
  <si>
    <t>Wednesday in the 22nd Week in Ordinary Time</t>
  </si>
  <si>
    <t>Thursday in the 22nd Week in Ordinary Time</t>
  </si>
  <si>
    <t>Friday in the 22nd Week in Ordinary Time</t>
  </si>
  <si>
    <t>Saturday in the 22nd Week in Ordinary Time</t>
  </si>
  <si>
    <t>23rd Sunday in Ordinary Time</t>
  </si>
  <si>
    <t>Monday in the 23rd Week in Ordinary Time</t>
  </si>
  <si>
    <t>Tuesday in the 23rd Week in Ordinary Time</t>
  </si>
  <si>
    <t>Wednesday in the 23rd Week in Ordinary Time</t>
  </si>
  <si>
    <t>Thursday in the 23rd Week in Ordinary Time</t>
  </si>
  <si>
    <t>Friday in the 23rd Week in Ordinary Time</t>
  </si>
  <si>
    <t>Saturday in the 23rd Week in Ordinary Time</t>
  </si>
  <si>
    <t>24th Sunday in Ordinary Time</t>
  </si>
  <si>
    <t>Monday in the 24th Week in Ordinary Time</t>
  </si>
  <si>
    <t>Tuesday in the 24th Week in Ordinary Time</t>
  </si>
  <si>
    <t>Wednesday in the 24th Week in Ordinary Time</t>
  </si>
  <si>
    <t>Thursday in the 24th Week in Ordinary Time</t>
  </si>
  <si>
    <t>Friday in the 24th Week in Ordinary Time</t>
  </si>
  <si>
    <t>Saturday in the 24th Week in Ordinary Time</t>
  </si>
  <si>
    <t>25th Sunday in Ordinary Time</t>
  </si>
  <si>
    <t>Monday in the 25th Week in Ordinary Time</t>
  </si>
  <si>
    <t>Tuesday in the 25th Week in Ordinary Time</t>
  </si>
  <si>
    <t>Wednesday in the 25th Week in Ordinary Time</t>
  </si>
  <si>
    <t>Thursday in the 25th Week in Ordinary Time</t>
  </si>
  <si>
    <t>Friday in the 25th Week in Ordinary Time</t>
  </si>
  <si>
    <t>Saturday in the 25th Week in Ordinary Time</t>
  </si>
  <si>
    <t>26th Sunday in Ordinary Time</t>
  </si>
  <si>
    <t>Monday in the 26th Week in Ordinary Time</t>
  </si>
  <si>
    <t>Tuesday in the 26th Week in Ordinary Time</t>
  </si>
  <si>
    <t>Wednesday in the 26th Week in Ordinary Time</t>
  </si>
  <si>
    <t>Thursday in the 26th Week in Ordinary Time</t>
  </si>
  <si>
    <t>Friday in the 26th Week in Ordinary Time</t>
  </si>
  <si>
    <t>Saturday in the 26th Week in Ordinary Time</t>
  </si>
  <si>
    <t>27th Sunday in Ordinary Time</t>
  </si>
  <si>
    <t>Monday in the 27th Week in Ordinary Time</t>
  </si>
  <si>
    <t>Tuesday in the 27th Week in Ordinary Time</t>
  </si>
  <si>
    <t>Wednesday in the 27th Week in Ordinary Time</t>
  </si>
  <si>
    <t>Thursday in the 27th Week in Ordinary Time</t>
  </si>
  <si>
    <t>Friday in the 27th Week in Ordinary Time</t>
  </si>
  <si>
    <t>Saturday in the 27th Week in Ordinary Time</t>
  </si>
  <si>
    <t>28th Sunday in Ordinary Time</t>
  </si>
  <si>
    <t>Monday in the 28th Week in Ordinary Time</t>
  </si>
  <si>
    <t>Tuesday in the 28th Week in Ordinary Time</t>
  </si>
  <si>
    <t>Wednesday in the 28th Week in Ordinary Time</t>
  </si>
  <si>
    <t>Thursday in the 28th Week in Ordinary Time</t>
  </si>
  <si>
    <t>Friday in the 28th Week in Ordinary Time</t>
  </si>
  <si>
    <t>Saturday in the 28th Week in Ordinary Time</t>
  </si>
  <si>
    <t>29th Sunday in Ordinary Time</t>
  </si>
  <si>
    <t>Monday in the 29th Week in Ordinary Time</t>
  </si>
  <si>
    <t>Tuesday in the 29th Week in Ordinary Time</t>
  </si>
  <si>
    <t>Wednesday in the 29th Week in Ordinary Time</t>
  </si>
  <si>
    <t>Thursday in the 29th Week in Ordinary Time</t>
  </si>
  <si>
    <t>Friday in the 29th Week in Ordinary Time</t>
  </si>
  <si>
    <t>Saturday in the 29th Week in Ordinary Time</t>
  </si>
  <si>
    <t>30th Sunday in Ordinary Time</t>
  </si>
  <si>
    <t>Monday in the 30th Week in Ordinary Time</t>
  </si>
  <si>
    <t>Tuesday in the 30th Week in Ordinary Time</t>
  </si>
  <si>
    <t>Wednesday in the 30th Week in Ordinary Time</t>
  </si>
  <si>
    <t>Thursday in the 30th Week in Ordinary Time</t>
  </si>
  <si>
    <t>Friday in the 30th Week in Ordinary Time</t>
  </si>
  <si>
    <t>Saturday in the 30th Week in Ordinary Time</t>
  </si>
  <si>
    <t>31st Sunday in Ordinary Time</t>
  </si>
  <si>
    <t>Monday in the 31st Week in Ordinary Time</t>
  </si>
  <si>
    <t>Tuesday in the 31st Week in Ordinary Time</t>
  </si>
  <si>
    <t>Wednesday in the 31st Week in Ordinary Time</t>
  </si>
  <si>
    <t>Thursday in the 31st Week in Ordinary Time</t>
  </si>
  <si>
    <t>Friday in the 31st Week in Ordinary Time</t>
  </si>
  <si>
    <t>Saturday in the 31st Week in Ordinary Time</t>
  </si>
  <si>
    <t>32nd Sunday in Ordinary Time</t>
  </si>
  <si>
    <t>Monday in the 32nd Week in Ordinary Time</t>
  </si>
  <si>
    <t>Tuesday in the 32nd Week in Ordinary Time</t>
  </si>
  <si>
    <t>Wednesday in the 32nd Week in Ordinary Time</t>
  </si>
  <si>
    <t>Thursday in the 32nd Week in Ordinary Time</t>
  </si>
  <si>
    <t>Friday in the 32nd Week in Ordinary Time</t>
  </si>
  <si>
    <t>Saturday in the 32nd Week in Ordinary Time</t>
  </si>
  <si>
    <t>33rd Sunday in Ordinary Time</t>
  </si>
  <si>
    <t>Monday in the 33rd Week in Ordinary Time</t>
  </si>
  <si>
    <t>Tuesday in the 33rd Week in Ordinary Time</t>
  </si>
  <si>
    <t>Wednesday in the 33rd Week in Ordinary Time</t>
  </si>
  <si>
    <t>Thursday in the 33rd Week in Ordinary Time</t>
  </si>
  <si>
    <t>Friday in the 33rd Week in Ordinary Time</t>
  </si>
  <si>
    <t>Saturday in the 33rd Week in Ordinary Time</t>
  </si>
  <si>
    <t>Monday in the 34th Week in Ordinary Time</t>
  </si>
  <si>
    <t>Tuesday in the 34th Week in Ordinary Time</t>
  </si>
  <si>
    <t>Wednesday in the 34th Week in Ordinary Time</t>
  </si>
  <si>
    <t>Thursday in the 34th Week in Ordinary Time</t>
  </si>
  <si>
    <t>Friday in the 34th Week in Ordinary Time</t>
  </si>
  <si>
    <t>Saturday in the 34th Week in Ordinary Time</t>
  </si>
  <si>
    <t>Thursday after Ash Wednesday</t>
  </si>
  <si>
    <t>Friday after Ash Wednesday</t>
  </si>
  <si>
    <t>Saturday after Ash Wednesday</t>
  </si>
  <si>
    <t>1st Sunday of Lent</t>
  </si>
  <si>
    <t>Monday in the 1st Week of Lent</t>
  </si>
  <si>
    <t>Tuesday in the 1st Week of Lent</t>
  </si>
  <si>
    <t>Wednesday in the 1st Week of Lent</t>
  </si>
  <si>
    <t>Thursday in the 1st Week of Lent</t>
  </si>
  <si>
    <t>Friday in the 1st Week of Lent</t>
  </si>
  <si>
    <t>Saturday in the 1st Week of Lent</t>
  </si>
  <si>
    <t>2nd Sunday of Lent</t>
  </si>
  <si>
    <t>Monday in the 2nd Week of Lent</t>
  </si>
  <si>
    <t>Tuesday in the 2nd Week of Lent</t>
  </si>
  <si>
    <t>Wednesday in the 2nd Week of Lent</t>
  </si>
  <si>
    <t>Thursday in the 2nd Week of Lent</t>
  </si>
  <si>
    <t>Friday in the 2nd Week of Lent</t>
  </si>
  <si>
    <t>Saturday in the 2nd Week of Lent</t>
  </si>
  <si>
    <t>3rd Sunday of Lent</t>
  </si>
  <si>
    <t>Monday in the 3rd Week of Lent</t>
  </si>
  <si>
    <t>Tuesday in the 3rd Week of Lent</t>
  </si>
  <si>
    <t>Wednesday in the 3rd Week of Lent</t>
  </si>
  <si>
    <t>Thursday in the 3rd Week of Lent</t>
  </si>
  <si>
    <t>Friday in the 3rd Week of Lent</t>
  </si>
  <si>
    <t>Saturday in the 3rd Week of Lent</t>
  </si>
  <si>
    <t>4th Sunday of Lent</t>
  </si>
  <si>
    <t>Monday in the 4th Week of Lent</t>
  </si>
  <si>
    <t>Tuesday in the 4th Week of Lent</t>
  </si>
  <si>
    <t>Wednesday in the 4th Week of Lent</t>
  </si>
  <si>
    <t>Thursday in the 4th Week of Lent</t>
  </si>
  <si>
    <t>Friday in the 4th Week of Lent</t>
  </si>
  <si>
    <t>Saturday in the 4th Week of Lent</t>
  </si>
  <si>
    <t>5th Sunday of Lent</t>
  </si>
  <si>
    <t>Monday in the 5th Week of Lent</t>
  </si>
  <si>
    <t>Tuesday in the 5th Week of Lent</t>
  </si>
  <si>
    <t>Wednesday in the 5th Week of Lent</t>
  </si>
  <si>
    <t>Thursday in the 5th Week of Lent</t>
  </si>
  <si>
    <t>Friday in the 5th Week of Lent</t>
  </si>
  <si>
    <t>Saturday in the 5th Week of Lent</t>
  </si>
  <si>
    <t>Monday within the Octave of Easter</t>
  </si>
  <si>
    <t>Tuesday within the Octave of Easter</t>
  </si>
  <si>
    <t>Wednesday within the Octave of Easter</t>
  </si>
  <si>
    <t>Thursday within the Octave of Easter</t>
  </si>
  <si>
    <t>Friday within the Octave of Easter</t>
  </si>
  <si>
    <t>Saturday within the Octave of Easter</t>
  </si>
  <si>
    <t>2nd Sunday of Easter</t>
  </si>
  <si>
    <t>Monday in the 2nd Week of Easter</t>
  </si>
  <si>
    <t>Tuesday in the 2nd Week of Easter</t>
  </si>
  <si>
    <t>Wednesday in the 2nd Week of Easter</t>
  </si>
  <si>
    <t>Thursday in the 2nd Week of Easter</t>
  </si>
  <si>
    <t>Friday in the 2nd Week of Easter</t>
  </si>
  <si>
    <t>Saturday in the 2nd Week of Easter</t>
  </si>
  <si>
    <t>3rd Sunday of Easter</t>
  </si>
  <si>
    <t>Monday in the 3rd Week of Easter</t>
  </si>
  <si>
    <t>Tuesday in the 3rd Week of Easter</t>
  </si>
  <si>
    <t>Wednesday in the 3rd Week of Easter</t>
  </si>
  <si>
    <t>Thursday in the 3rd Week of Easter</t>
  </si>
  <si>
    <t>Friday in the 3rd Week of Easter</t>
  </si>
  <si>
    <t>Saturday in the 3rd Week of Easter</t>
  </si>
  <si>
    <t>4th Sunday of Easter</t>
  </si>
  <si>
    <t>Monday in the 4th Week of Easter</t>
  </si>
  <si>
    <t>Tuesday in the 4th Week of Easter</t>
  </si>
  <si>
    <t>Wednesday in the 4th Week of Easter</t>
  </si>
  <si>
    <t>Thursday in the 4th Week of Easter</t>
  </si>
  <si>
    <t>Friday in the 4th Week of Easter</t>
  </si>
  <si>
    <t>Saturday in the 4th Week of Easter</t>
  </si>
  <si>
    <t>5th Sunday of Easter</t>
  </si>
  <si>
    <t>Monday in the 5th Week of Easter</t>
  </si>
  <si>
    <t>Tuesday in the 5th Week of Easter</t>
  </si>
  <si>
    <t>Wednesday in the 5th Week of Easter</t>
  </si>
  <si>
    <t>Thursday in the 5th Week of Easter</t>
  </si>
  <si>
    <t>Friday in the 5th Week of Easter</t>
  </si>
  <si>
    <t>Saturday in the 5th Week of Easter</t>
  </si>
  <si>
    <t>6th Sunday of Easter</t>
  </si>
  <si>
    <t>Monday in the 6th Week of Easter</t>
  </si>
  <si>
    <t>Tuesday in the 6th Week of Easter</t>
  </si>
  <si>
    <t>Wednesday in the 6th Week of Easter</t>
  </si>
  <si>
    <t>Thursday in the 6th Week of Easter</t>
  </si>
  <si>
    <t>Friday in the 6th Week of Easter</t>
  </si>
  <si>
    <t>Saturday in the 6th Week of Easter</t>
  </si>
  <si>
    <t>7th Sunday of Easter</t>
  </si>
  <si>
    <t>Monday in the 7th Week of Easter</t>
  </si>
  <si>
    <t>Tuesday in the 7th Week of Easter</t>
  </si>
  <si>
    <t>Wednesday in the 7th Week of Easter</t>
  </si>
  <si>
    <t>Thursday in the 7th Week of Easter</t>
  </si>
  <si>
    <t>Friday in the 7th Week of Easter</t>
  </si>
  <si>
    <t>Saturday in the 7th Week of Easter</t>
  </si>
  <si>
    <t>fix.0101.310.octna</t>
  </si>
  <si>
    <t>fix.0102.a10.basma</t>
  </si>
  <si>
    <t>fix.0103.c10.nomie</t>
  </si>
  <si>
    <t>fix.0107.c10.raipe</t>
  </si>
  <si>
    <t>fix.0113.c10.hilep</t>
  </si>
  <si>
    <t>fix.0117.a10.antab</t>
  </si>
  <si>
    <t>fix.0120.c10.fabpa</t>
  </si>
  <si>
    <t>fix.0120.c10.sebma</t>
  </si>
  <si>
    <t>fix.0121.a10.agnvi</t>
  </si>
  <si>
    <t>fix.0122.c10.vindi</t>
  </si>
  <si>
    <t>fix.0124.a10.frasa</t>
  </si>
  <si>
    <t>fix.0125.710.conpa</t>
  </si>
  <si>
    <t>fix.0126.a10.timti</t>
  </si>
  <si>
    <t>fix.0127.c10.angme</t>
  </si>
  <si>
    <t>fix.0128.a10.thoaq</t>
  </si>
  <si>
    <t>fix.0131.a10.ioabo</t>
  </si>
  <si>
    <t>fix.0202.510.prado</t>
  </si>
  <si>
    <t>fix.0203.c10.blaep</t>
  </si>
  <si>
    <t>fix.0203.c10.ansep</t>
  </si>
  <si>
    <t>fix.0205.a10.agavi</t>
  </si>
  <si>
    <t>fix.0206.a10.paumi</t>
  </si>
  <si>
    <t>fix.0208.c10.hieem</t>
  </si>
  <si>
    <t>fix.0208.c10.iosba</t>
  </si>
  <si>
    <t>fix.0210.a10.schvi</t>
  </si>
  <si>
    <t>fix.0211.c10.marvi</t>
  </si>
  <si>
    <t>fix.0214.a10.cyrmo</t>
  </si>
  <si>
    <t>fix.0217.c10.sepfu</t>
  </si>
  <si>
    <t>fix.0221.c10.petda</t>
  </si>
  <si>
    <t>fix.0222.710.catpe</t>
  </si>
  <si>
    <t>fix.0223.a10.polep</t>
  </si>
  <si>
    <t>fix.0227.c10.grena</t>
  </si>
  <si>
    <t>fix.0304.c10.casim</t>
  </si>
  <si>
    <t>fix.0307.a10.perfe</t>
  </si>
  <si>
    <t>fix.0308.c10.ioaad</t>
  </si>
  <si>
    <t>fix.0309.c10.fraro</t>
  </si>
  <si>
    <t>fix.0317.c10.patep</t>
  </si>
  <si>
    <t>fix.0318.c10.cyrhi</t>
  </si>
  <si>
    <t>fix.0319.310.iossp</t>
  </si>
  <si>
    <t>fix.0323.c10.turmo</t>
  </si>
  <si>
    <t>fix.0325.310.anndo</t>
  </si>
  <si>
    <t>fix.0402.c10.frapa</t>
  </si>
  <si>
    <t>fix.0404.c10.isiep</t>
  </si>
  <si>
    <t>fix.0405.c10.vinfe</t>
  </si>
  <si>
    <t>fix.0407.a10.ioaba</t>
  </si>
  <si>
    <t>fix.0411.a10.staep</t>
  </si>
  <si>
    <t>fix.0413.c10.marip</t>
  </si>
  <si>
    <t>fix.0421.c10.ansep</t>
  </si>
  <si>
    <t>fix.0423.c10.geoma</t>
  </si>
  <si>
    <t>fix.0423.c10.adaep</t>
  </si>
  <si>
    <t>fix.0424.c10.fidsi</t>
  </si>
  <si>
    <t>fix.0425.710.marev</t>
  </si>
  <si>
    <t>fix.0428.c10.petch</t>
  </si>
  <si>
    <t>fix.0428.c10.ludma</t>
  </si>
  <si>
    <t>fix.0429.a10.catse</t>
  </si>
  <si>
    <t>fix.0430.c10.piivp</t>
  </si>
  <si>
    <t>fix.0501.c10.iosop</t>
  </si>
  <si>
    <t>fix.0502.a10.athep</t>
  </si>
  <si>
    <t>fix.0503.710.phiia</t>
  </si>
  <si>
    <t>fix.0510.c10.ioaav</t>
  </si>
  <si>
    <t>fix.0512.c10.nerac</t>
  </si>
  <si>
    <t>fix.0512.c10.panma</t>
  </si>
  <si>
    <t>fix.0513.c10.marvi</t>
  </si>
  <si>
    <t>fix.0514.710.matap</t>
  </si>
  <si>
    <t>fix.0518.c10.ioaip</t>
  </si>
  <si>
    <t>fix.0520.c10.berse</t>
  </si>
  <si>
    <t>fix.0521.c10.chrma</t>
  </si>
  <si>
    <t>fix.0522.c10.ritca</t>
  </si>
  <si>
    <t>fix.0525.c10.bedve</t>
  </si>
  <si>
    <t>fix.0525.c10.grevi</t>
  </si>
  <si>
    <t>fix.0525.c10.marma</t>
  </si>
  <si>
    <t>fix.0526.a10.phine</t>
  </si>
  <si>
    <t>fix.0527.c10.augca</t>
  </si>
  <si>
    <t>fix.0529.c10.pauvi</t>
  </si>
  <si>
    <t>fix.0531.710.visma</t>
  </si>
  <si>
    <t>fix.0601.a10.iusma</t>
  </si>
  <si>
    <t>fix.0602.c10.marpe</t>
  </si>
  <si>
    <t>fix.0603.a10.carlw</t>
  </si>
  <si>
    <t>fix.0605.a10.bonep</t>
  </si>
  <si>
    <t>fix.0606.c10.norep</t>
  </si>
  <si>
    <t>fix.0609.c10.ephdi</t>
  </si>
  <si>
    <t>fix.0611.a10.barap</t>
  </si>
  <si>
    <t>fix.0613.a10.antpa</t>
  </si>
  <si>
    <t>fix.0619.c10.romab</t>
  </si>
  <si>
    <t>fix.0621.a10.alogo</t>
  </si>
  <si>
    <t>fix.0622.c10.pauno</t>
  </si>
  <si>
    <t>fix.0622.c10.ioafi</t>
  </si>
  <si>
    <t>fix.0624.310.natio</t>
  </si>
  <si>
    <t>fix.0627.c10.cyral</t>
  </si>
  <si>
    <t>fix.0628.a10.ireep</t>
  </si>
  <si>
    <t>fix.0629.310.petpa</t>
  </si>
  <si>
    <t>fix.0630.c10.proro</t>
  </si>
  <si>
    <t>fix.0703.710.thoap</t>
  </si>
  <si>
    <t>fix.0704.c10.elilu</t>
  </si>
  <si>
    <t>fix.0705.c10.antma</t>
  </si>
  <si>
    <t>fix.0706.c10.margo</t>
  </si>
  <si>
    <t>fix.0709.c10.augzh</t>
  </si>
  <si>
    <t>fix.0711.a10.benab</t>
  </si>
  <si>
    <t>fix.0713.c10.henri</t>
  </si>
  <si>
    <t>fix.0714.c10.camle</t>
  </si>
  <si>
    <t>fix.0715.a10.bonep</t>
  </si>
  <si>
    <t>fix.0716.c10.marvi</t>
  </si>
  <si>
    <t>fix.0720.c10.apoep</t>
  </si>
  <si>
    <t>fix.0721.c10.laubr</t>
  </si>
  <si>
    <t>fix.0722.710.marma</t>
  </si>
  <si>
    <t>fix.0723.c10.birre</t>
  </si>
  <si>
    <t>fix.0724.c10.sarma</t>
  </si>
  <si>
    <t>fix.0725.710.iacap</t>
  </si>
  <si>
    <t>fix.0726.a10.ioaan</t>
  </si>
  <si>
    <t>fix.0729.a10.marma</t>
  </si>
  <si>
    <t>fix.0730.c10.petch</t>
  </si>
  <si>
    <t>fix.0731.a10.ignlo</t>
  </si>
  <si>
    <t>fix.0801.a10.alfma</t>
  </si>
  <si>
    <t>fix.0802.c10.eusve</t>
  </si>
  <si>
    <t>fix.0802.c10.petiu</t>
  </si>
  <si>
    <t>fix.0804.a10.ioama</t>
  </si>
  <si>
    <t>fix.0805.c10.dedba</t>
  </si>
  <si>
    <t>fix.0806.510.trado</t>
  </si>
  <si>
    <t>fix.0807.c10.xysii</t>
  </si>
  <si>
    <t>fix.0807.c10.caipr</t>
  </si>
  <si>
    <t>fix.0808.a10.dompr</t>
  </si>
  <si>
    <t>fix.0809.c10.terbe</t>
  </si>
  <si>
    <t>fix.0810.710.laudi</t>
  </si>
  <si>
    <t>fix.0811.a10.clavi</t>
  </si>
  <si>
    <t>fix.0812.c10.ioafr</t>
  </si>
  <si>
    <t>fix.0813.c10.ponpa</t>
  </si>
  <si>
    <t>fix.0814.a10.maxma</t>
  </si>
  <si>
    <t>fix.0815.310.assbe</t>
  </si>
  <si>
    <t>fix.0816.c10.stehu</t>
  </si>
  <si>
    <t>fix.0819.c10.ioaeu</t>
  </si>
  <si>
    <t>fix.0820.a10.berab</t>
  </si>
  <si>
    <t>fix.0821.a10.piixp</t>
  </si>
  <si>
    <t>fix.0822.a10.marvi</t>
  </si>
  <si>
    <t>fix.0823.c10.rosli</t>
  </si>
  <si>
    <t>fix.0824.710.barap</t>
  </si>
  <si>
    <t>fix.0825.c10.ludov</t>
  </si>
  <si>
    <t>fix.0825.c10.iosca</t>
  </si>
  <si>
    <t>fix.0827.a10.monic</t>
  </si>
  <si>
    <t>fix.0828.a10.augep</t>
  </si>
  <si>
    <t>fix.0829.a10.pasio</t>
  </si>
  <si>
    <t>fix.0903.a10.grema</t>
  </si>
  <si>
    <t>fix.0905.c10.terca</t>
  </si>
  <si>
    <t>fix.0908.710.natma</t>
  </si>
  <si>
    <t>fix.0909.c10.petcl</t>
  </si>
  <si>
    <t>fix.0912.c10.nomma</t>
  </si>
  <si>
    <t>fix.0913.a10.ioach</t>
  </si>
  <si>
    <t>fix.0914.510.exacr</t>
  </si>
  <si>
    <t>fix.0915.a10.marvi</t>
  </si>
  <si>
    <t>fix.0916.a10.corpa</t>
  </si>
  <si>
    <t>fix.0917.c10.robbe</t>
  </si>
  <si>
    <t>fix.0917.c10.hilbi</t>
  </si>
  <si>
    <t>fix.0919.c10.ianep</t>
  </si>
  <si>
    <t>fix.0920.a10.andki</t>
  </si>
  <si>
    <t>fix.0921.710.matap</t>
  </si>
  <si>
    <t>fix.0923.a10.piipi</t>
  </si>
  <si>
    <t>fix.0926.c10.cosda</t>
  </si>
  <si>
    <t>fix.0927.a10.vinpa</t>
  </si>
  <si>
    <t>fix.0928.c10.venma</t>
  </si>
  <si>
    <t>fix.0928.c10.lauru</t>
  </si>
  <si>
    <t>fix.0929.710.micga</t>
  </si>
  <si>
    <t>fix.0930.a10.hiepr</t>
  </si>
  <si>
    <t>fix.1001.a10.terai</t>
  </si>
  <si>
    <t>fix.1002.a10.angcu</t>
  </si>
  <si>
    <t>fix.1004.a10.fraas</t>
  </si>
  <si>
    <t>fix.1005.c10.fauko</t>
  </si>
  <si>
    <t>fix.1006.c10.brupr</t>
  </si>
  <si>
    <t>fix.1007.a10.marvi</t>
  </si>
  <si>
    <t>fix.1009.c10.dioep</t>
  </si>
  <si>
    <t>fix.1009.c10.ioale</t>
  </si>
  <si>
    <t>fix.1011.c10.ioaxx</t>
  </si>
  <si>
    <t>fix.1014.c10.calip</t>
  </si>
  <si>
    <t>fix.1015.a10.terai</t>
  </si>
  <si>
    <t>fix.1016.c10.hedre</t>
  </si>
  <si>
    <t>fix.1016.c10.marma</t>
  </si>
  <si>
    <t>fix.1017.a10.ignan</t>
  </si>
  <si>
    <t>fix.1018.710.lucev</t>
  </si>
  <si>
    <t>fix.1019.c10.ioabr</t>
  </si>
  <si>
    <t>fix.1019.c10.pauac</t>
  </si>
  <si>
    <t>fix.1022.c10.ioapa</t>
  </si>
  <si>
    <t>fix.1023.c10.ioaca</t>
  </si>
  <si>
    <t>fix.1024.c10.antma</t>
  </si>
  <si>
    <t>fix.1028.710.simiu</t>
  </si>
  <si>
    <t>fix.1101.310.omnsa</t>
  </si>
  <si>
    <t>fix.1102.320.comom</t>
  </si>
  <si>
    <t>fix.1103.c10.marpo</t>
  </si>
  <si>
    <t>fix.1104.a10.carbo</t>
  </si>
  <si>
    <t>fix.1109.710.dedba</t>
  </si>
  <si>
    <t>fix.1110.a10.leoma</t>
  </si>
  <si>
    <t>fix.1111.a10.martu</t>
  </si>
  <si>
    <t>fix.1112.a10.iosep</t>
  </si>
  <si>
    <t>fix.1115.c10.albma</t>
  </si>
  <si>
    <t>fix.1116.c10.marsc</t>
  </si>
  <si>
    <t>fix.1116.c10.gervi</t>
  </si>
  <si>
    <t>fix.1117.a10.elihu</t>
  </si>
  <si>
    <t>fix.1118.c10.dedba</t>
  </si>
  <si>
    <t>fix.1121.a10.prama</t>
  </si>
  <si>
    <t>fix.1122.a10.caevi</t>
  </si>
  <si>
    <t>fix.1123.c10.cleip</t>
  </si>
  <si>
    <t>fix.1123.c10.colab</t>
  </si>
  <si>
    <t>fix.1124.a10.anddn</t>
  </si>
  <si>
    <t>fix.1125.c10.catal</t>
  </si>
  <si>
    <t>fix.1130.710.andap</t>
  </si>
  <si>
    <t>fix.1203.a10.fraxa</t>
  </si>
  <si>
    <t>fix.1204.c10.ioada</t>
  </si>
  <si>
    <t>fix.1206.c10.nicep</t>
  </si>
  <si>
    <t>fix.1207.a10.ambep</t>
  </si>
  <si>
    <t>fix.1208.310.conim</t>
  </si>
  <si>
    <t>fix.1209.c10.ioadi</t>
  </si>
  <si>
    <t>fix.1210.c10.marvi</t>
  </si>
  <si>
    <t>fix.1211.c10.damip</t>
  </si>
  <si>
    <t>fix.1212.c10.marvi</t>
  </si>
  <si>
    <t>fix.1213.a10.lucvi</t>
  </si>
  <si>
    <t>fix.1214.a10.ioaac</t>
  </si>
  <si>
    <t>fix.1217.910.die17</t>
  </si>
  <si>
    <t>fix.1218.910.die18</t>
  </si>
  <si>
    <t>fix.1219.910.die19</t>
  </si>
  <si>
    <t>fix.1220.910.die20</t>
  </si>
  <si>
    <t>fix.1221.910.die21</t>
  </si>
  <si>
    <t>fix.1221.c10.petca</t>
  </si>
  <si>
    <t>fix.1222.910.die22</t>
  </si>
  <si>
    <t>fix.1223.910.die23</t>
  </si>
  <si>
    <t>fix.1223.c10.ioakt</t>
  </si>
  <si>
    <t>fix.1224.910.die24</t>
  </si>
  <si>
    <t>fix.1225.210.natdo</t>
  </si>
  <si>
    <t>fix.1226.710.stepr</t>
  </si>
  <si>
    <t>fix.1227.710.ioaap</t>
  </si>
  <si>
    <t>fix.1228.710.innma</t>
  </si>
  <si>
    <t>fix.1229.920.devdi</t>
  </si>
  <si>
    <t>fix.1229.c10.thobe</t>
  </si>
  <si>
    <t>fix.1230.920.devid</t>
  </si>
  <si>
    <t>fix.1231.920.devii</t>
  </si>
  <si>
    <t>fix.1231.c10.silip</t>
  </si>
  <si>
    <t>mov.adve.220.w01d0</t>
  </si>
  <si>
    <t>mov.adve.d10.w01d1</t>
  </si>
  <si>
    <t>mov.adve.d10.w01d2</t>
  </si>
  <si>
    <t>mov.adve.d10.w01d3</t>
  </si>
  <si>
    <t>mov.adve.d10.w01d4</t>
  </si>
  <si>
    <t>mov.adve.d10.w01d5</t>
  </si>
  <si>
    <t>mov.adve.d10.w01d6</t>
  </si>
  <si>
    <t>mov.adve.220.w02d0</t>
  </si>
  <si>
    <t>mov.adve.d10.w02d1</t>
  </si>
  <si>
    <t>mov.adve.d10.w02d2</t>
  </si>
  <si>
    <t>mov.adve.d10.w02d3</t>
  </si>
  <si>
    <t>mov.adve.d10.w02d4</t>
  </si>
  <si>
    <t>mov.adve.d10.w02d5</t>
  </si>
  <si>
    <t>mov.adve.d10.w02d6</t>
  </si>
  <si>
    <t>mov.adve.220.w03d0</t>
  </si>
  <si>
    <t>mov.adve.d10.w03d1</t>
  </si>
  <si>
    <t>mov.adve.d10.w03d2</t>
  </si>
  <si>
    <t>mov.adve.d10.w03d3</t>
  </si>
  <si>
    <t>mov.adve.d10.w03d4</t>
  </si>
  <si>
    <t>mov.adve.d10.w03d5</t>
  </si>
  <si>
    <t>mov.adve.220.w04d0</t>
  </si>
  <si>
    <t>mov.nati.510.famil</t>
  </si>
  <si>
    <t>mov.nati.610.w02d0</t>
  </si>
  <si>
    <t>mov.nati.d20.w01d1</t>
  </si>
  <si>
    <t>mov.nati.d20.w01d2</t>
  </si>
  <si>
    <t>mov.nati.d20.w01d3</t>
  </si>
  <si>
    <t>mov.nati.d20.w01d4</t>
  </si>
  <si>
    <t>mov.nati.d20.w01d5</t>
  </si>
  <si>
    <t>mov.nati.d20.w01d6</t>
  </si>
  <si>
    <t>mov.nati.210.epiph</t>
  </si>
  <si>
    <t>mov.nati.d20.w02d1</t>
  </si>
  <si>
    <t>mov.nati.d20.w02d2</t>
  </si>
  <si>
    <t>mov.nati.d20.w02d3</t>
  </si>
  <si>
    <t>mov.nati.d20.w02d4</t>
  </si>
  <si>
    <t>mov.nati.d20.w02d5</t>
  </si>
  <si>
    <t>mov.nati.d20.w02d6</t>
  </si>
  <si>
    <t>mov.nati.510.bapti</t>
  </si>
  <si>
    <t>mov.annu.d40.w01d1</t>
  </si>
  <si>
    <t>mov.annu.d40.w01d2</t>
  </si>
  <si>
    <t>mov.annu.d40.w01d3</t>
  </si>
  <si>
    <t>mov.annu.d40.w01d4</t>
  </si>
  <si>
    <t>mov.annu.d40.w01d5</t>
  </si>
  <si>
    <t>mov.annu.d40.w01d6</t>
  </si>
  <si>
    <t>mov.annu.610.w02d0</t>
  </si>
  <si>
    <t>mov.annu.d40.w02d1</t>
  </si>
  <si>
    <t>mov.annu.d40.w02d2</t>
  </si>
  <si>
    <t>mov.annu.d40.w02d3</t>
  </si>
  <si>
    <t>mov.annu.d40.w02d4</t>
  </si>
  <si>
    <t>mov.annu.d40.w02d5</t>
  </si>
  <si>
    <t>mov.annu.d40.w02d6</t>
  </si>
  <si>
    <t>mov.annu.610.w03d0</t>
  </si>
  <si>
    <t>mov.annu.d40.w03d1</t>
  </si>
  <si>
    <t>mov.annu.d40.w03d2</t>
  </si>
  <si>
    <t>mov.annu.d40.w03d3</t>
  </si>
  <si>
    <t>mov.annu.d40.w03d4</t>
  </si>
  <si>
    <t>mov.annu.d40.w03d5</t>
  </si>
  <si>
    <t>mov.annu.d40.w03d6</t>
  </si>
  <si>
    <t>mov.annu.610.w04d0</t>
  </si>
  <si>
    <t>mov.annu.d40.w04d1</t>
  </si>
  <si>
    <t>mov.annu.d40.w04d2</t>
  </si>
  <si>
    <t>mov.annu.d40.w04d3</t>
  </si>
  <si>
    <t>mov.annu.d40.w04d4</t>
  </si>
  <si>
    <t>mov.annu.d40.w04d5</t>
  </si>
  <si>
    <t>mov.annu.d40.w04d6</t>
  </si>
  <si>
    <t>mov.annu.610.w05d0</t>
  </si>
  <si>
    <t>mov.annu.d40.w05d1</t>
  </si>
  <si>
    <t>mov.annu.d40.w05d2</t>
  </si>
  <si>
    <t>mov.annu.d40.w05d3</t>
  </si>
  <si>
    <t>mov.annu.d40.w05d4</t>
  </si>
  <si>
    <t>mov.annu.d40.w05d5</t>
  </si>
  <si>
    <t>mov.annu.d40.w05d6</t>
  </si>
  <si>
    <t>mov.annu.610.w06d0</t>
  </si>
  <si>
    <t>mov.annu.d40.w06d1</t>
  </si>
  <si>
    <t>mov.annu.d40.w06d2</t>
  </si>
  <si>
    <t>mov.annu.d40.w06d3</t>
  </si>
  <si>
    <t>mov.annu.d40.w06d4</t>
  </si>
  <si>
    <t>mov.annu.d40.w06d5</t>
  </si>
  <si>
    <t>mov.annu.d40.w06d6</t>
  </si>
  <si>
    <t>mov.annu.610.w07d0</t>
  </si>
  <si>
    <t>mov.annu.d40.w07d1</t>
  </si>
  <si>
    <t>mov.annu.d40.w07d2</t>
  </si>
  <si>
    <t>mov.annu.d40.w07d3</t>
  </si>
  <si>
    <t>mov.annu.d40.w07d4</t>
  </si>
  <si>
    <t>mov.annu.d40.w07d5</t>
  </si>
  <si>
    <t>mov.annu.d40.w07d6</t>
  </si>
  <si>
    <t>mov.annu.610.w08d0</t>
  </si>
  <si>
    <t>mov.annu.d40.w08d1</t>
  </si>
  <si>
    <t>mov.annu.d40.w08d2</t>
  </si>
  <si>
    <t>mov.annu.d40.w08d3</t>
  </si>
  <si>
    <t>mov.annu.d40.w08d4</t>
  </si>
  <si>
    <t>mov.annu.d40.w08d5</t>
  </si>
  <si>
    <t>mov.annu.d40.w08d6</t>
  </si>
  <si>
    <t>mov.annu.610.w09d0</t>
  </si>
  <si>
    <t>mov.annu.d40.w09d1</t>
  </si>
  <si>
    <t>mov.annu.d40.w09d2</t>
  </si>
  <si>
    <t>mov.annu.d40.w09d3</t>
  </si>
  <si>
    <t>mov.annu.d40.w09d4</t>
  </si>
  <si>
    <t>mov.annu.d40.w09d5</t>
  </si>
  <si>
    <t>mov.annu.d40.w09d6</t>
  </si>
  <si>
    <t>mov.annu.610.w10d0</t>
  </si>
  <si>
    <t>mov.annu.d40.w10d1</t>
  </si>
  <si>
    <t>mov.annu.d40.w10d2</t>
  </si>
  <si>
    <t>mov.annu.d40.w10d3</t>
  </si>
  <si>
    <t>mov.annu.d40.w10d4</t>
  </si>
  <si>
    <t>mov.annu.d40.w10d5</t>
  </si>
  <si>
    <t>mov.annu.d40.w10d6</t>
  </si>
  <si>
    <t>mov.annu.610.w11d0</t>
  </si>
  <si>
    <t>mov.annu.d40.w11d1</t>
  </si>
  <si>
    <t>mov.annu.d40.w11d2</t>
  </si>
  <si>
    <t>mov.annu.d40.w11d3</t>
  </si>
  <si>
    <t>mov.annu.d40.w11d4</t>
  </si>
  <si>
    <t>mov.annu.d40.w11d5</t>
  </si>
  <si>
    <t>mov.annu.d40.w11d6</t>
  </si>
  <si>
    <t>mov.annu.610.w12d0</t>
  </si>
  <si>
    <t>mov.annu.d40.w12d1</t>
  </si>
  <si>
    <t>mov.annu.d40.w12d2</t>
  </si>
  <si>
    <t>mov.annu.d40.w12d3</t>
  </si>
  <si>
    <t>mov.annu.d40.w12d4</t>
  </si>
  <si>
    <t>mov.annu.d40.w12d5</t>
  </si>
  <si>
    <t>mov.annu.d40.w12d6</t>
  </si>
  <si>
    <t>mov.annu.610.w13d0</t>
  </si>
  <si>
    <t>mov.annu.d40.w13d1</t>
  </si>
  <si>
    <t>mov.annu.d40.w13d2</t>
  </si>
  <si>
    <t>mov.annu.d40.w13d3</t>
  </si>
  <si>
    <t>mov.annu.d40.w13d4</t>
  </si>
  <si>
    <t>mov.annu.d40.w13d5</t>
  </si>
  <si>
    <t>mov.annu.d40.w13d6</t>
  </si>
  <si>
    <t>mov.annu.610.w14d0</t>
  </si>
  <si>
    <t>mov.annu.d40.w14d1</t>
  </si>
  <si>
    <t>mov.annu.d40.w14d2</t>
  </si>
  <si>
    <t>mov.annu.d40.w14d3</t>
  </si>
  <si>
    <t>mov.annu.d40.w14d4</t>
  </si>
  <si>
    <t>mov.annu.d40.w14d5</t>
  </si>
  <si>
    <t>mov.annu.d40.w14d6</t>
  </si>
  <si>
    <t>mov.annu.610.w15d0</t>
  </si>
  <si>
    <t>mov.annu.d40.w15d1</t>
  </si>
  <si>
    <t>mov.annu.d40.w15d2</t>
  </si>
  <si>
    <t>mov.annu.d40.w15d3</t>
  </si>
  <si>
    <t>mov.annu.d40.w15d4</t>
  </si>
  <si>
    <t>mov.annu.d40.w15d5</t>
  </si>
  <si>
    <t>mov.annu.d40.w15d6</t>
  </si>
  <si>
    <t>mov.annu.610.w16d0</t>
  </si>
  <si>
    <t>mov.annu.d40.w16d1</t>
  </si>
  <si>
    <t>mov.annu.d40.w16d2</t>
  </si>
  <si>
    <t>mov.annu.d40.w16d3</t>
  </si>
  <si>
    <t>mov.annu.d40.w16d4</t>
  </si>
  <si>
    <t>mov.annu.d40.w16d5</t>
  </si>
  <si>
    <t>mov.annu.d40.w16d6</t>
  </si>
  <si>
    <t>mov.annu.610.w17d0</t>
  </si>
  <si>
    <t>mov.annu.d40.w17d1</t>
  </si>
  <si>
    <t>mov.annu.d40.w17d2</t>
  </si>
  <si>
    <t>mov.annu.d40.w17d3</t>
  </si>
  <si>
    <t>mov.annu.d40.w17d4</t>
  </si>
  <si>
    <t>mov.annu.d40.w17d5</t>
  </si>
  <si>
    <t>mov.annu.d40.w17d6</t>
  </si>
  <si>
    <t>mov.annu.610.w18d0</t>
  </si>
  <si>
    <t>mov.annu.d40.w18d1</t>
  </si>
  <si>
    <t>mov.annu.d40.w18d2</t>
  </si>
  <si>
    <t>mov.annu.d40.w18d3</t>
  </si>
  <si>
    <t>mov.annu.d40.w18d4</t>
  </si>
  <si>
    <t>mov.annu.d40.w18d5</t>
  </si>
  <si>
    <t>mov.annu.d40.w18d6</t>
  </si>
  <si>
    <t>mov.annu.610.w19d0</t>
  </si>
  <si>
    <t>mov.annu.d40.w19d1</t>
  </si>
  <si>
    <t>mov.annu.d40.w19d2</t>
  </si>
  <si>
    <t>mov.annu.d40.w19d3</t>
  </si>
  <si>
    <t>mov.annu.d40.w19d4</t>
  </si>
  <si>
    <t>mov.annu.d40.w19d5</t>
  </si>
  <si>
    <t>mov.annu.d40.w19d6</t>
  </si>
  <si>
    <t>mov.annu.610.w20d0</t>
  </si>
  <si>
    <t>mov.annu.d40.w20d1</t>
  </si>
  <si>
    <t>mov.annu.d40.w20d2</t>
  </si>
  <si>
    <t>mov.annu.d40.w20d3</t>
  </si>
  <si>
    <t>mov.annu.d40.w20d4</t>
  </si>
  <si>
    <t>mov.annu.d40.w20d5</t>
  </si>
  <si>
    <t>mov.annu.d40.w20d6</t>
  </si>
  <si>
    <t>mov.annu.610.w21d0</t>
  </si>
  <si>
    <t>mov.annu.d40.w21d1</t>
  </si>
  <si>
    <t>mov.annu.d40.w21d2</t>
  </si>
  <si>
    <t>mov.annu.d40.w21d3</t>
  </si>
  <si>
    <t>mov.annu.d40.w21d4</t>
  </si>
  <si>
    <t>mov.annu.d40.w21d5</t>
  </si>
  <si>
    <t>mov.annu.d40.w21d6</t>
  </si>
  <si>
    <t>mov.annu.610.w22d0</t>
  </si>
  <si>
    <t>mov.annu.d40.w22d1</t>
  </si>
  <si>
    <t>mov.annu.d40.w22d2</t>
  </si>
  <si>
    <t>mov.annu.d40.w22d3</t>
  </si>
  <si>
    <t>mov.annu.d40.w22d4</t>
  </si>
  <si>
    <t>mov.annu.d40.w22d5</t>
  </si>
  <si>
    <t>mov.annu.d40.w22d6</t>
  </si>
  <si>
    <t>mov.annu.610.w23d0</t>
  </si>
  <si>
    <t>mov.annu.d40.w23d1</t>
  </si>
  <si>
    <t>mov.annu.d40.w23d2</t>
  </si>
  <si>
    <t>mov.annu.d40.w23d3</t>
  </si>
  <si>
    <t>mov.annu.d40.w23d4</t>
  </si>
  <si>
    <t>mov.annu.d40.w23d5</t>
  </si>
  <si>
    <t>mov.annu.d40.w23d6</t>
  </si>
  <si>
    <t>mov.annu.610.w24d0</t>
  </si>
  <si>
    <t>mov.annu.d40.w24d1</t>
  </si>
  <si>
    <t>mov.annu.d40.w24d2</t>
  </si>
  <si>
    <t>mov.annu.d40.w24d3</t>
  </si>
  <si>
    <t>mov.annu.d40.w24d4</t>
  </si>
  <si>
    <t>mov.annu.d40.w24d5</t>
  </si>
  <si>
    <t>mov.annu.d40.w24d6</t>
  </si>
  <si>
    <t>mov.annu.610.w25d0</t>
  </si>
  <si>
    <t>mov.annu.d40.w25d1</t>
  </si>
  <si>
    <t>mov.annu.d40.w25d2</t>
  </si>
  <si>
    <t>mov.annu.d40.w25d3</t>
  </si>
  <si>
    <t>mov.annu.d40.w25d4</t>
  </si>
  <si>
    <t>mov.annu.d40.w25d5</t>
  </si>
  <si>
    <t>mov.annu.d40.w25d6</t>
  </si>
  <si>
    <t>mov.annu.610.w26d0</t>
  </si>
  <si>
    <t>mov.annu.d40.w26d1</t>
  </si>
  <si>
    <t>mov.annu.d40.w26d2</t>
  </si>
  <si>
    <t>mov.annu.d40.w26d3</t>
  </si>
  <si>
    <t>mov.annu.d40.w26d4</t>
  </si>
  <si>
    <t>mov.annu.d40.w26d5</t>
  </si>
  <si>
    <t>mov.annu.d40.w26d6</t>
  </si>
  <si>
    <t>mov.annu.610.w27d0</t>
  </si>
  <si>
    <t>mov.annu.d40.w27d1</t>
  </si>
  <si>
    <t>mov.annu.d40.w27d2</t>
  </si>
  <si>
    <t>mov.annu.d40.w27d3</t>
  </si>
  <si>
    <t>mov.annu.d40.w27d4</t>
  </si>
  <si>
    <t>mov.annu.d40.w27d5</t>
  </si>
  <si>
    <t>mov.annu.d40.w27d6</t>
  </si>
  <si>
    <t>mov.annu.610.w28d0</t>
  </si>
  <si>
    <t>mov.annu.d40.w28d1</t>
  </si>
  <si>
    <t>mov.annu.d40.w28d2</t>
  </si>
  <si>
    <t>mov.annu.d40.w28d3</t>
  </si>
  <si>
    <t>mov.annu.d40.w28d4</t>
  </si>
  <si>
    <t>mov.annu.d40.w28d5</t>
  </si>
  <si>
    <t>mov.annu.d40.w28d6</t>
  </si>
  <si>
    <t>mov.annu.610.w29d0</t>
  </si>
  <si>
    <t>mov.annu.d40.w29d1</t>
  </si>
  <si>
    <t>mov.annu.d40.w29d2</t>
  </si>
  <si>
    <t>mov.annu.d40.w29d3</t>
  </si>
  <si>
    <t>mov.annu.d40.w29d4</t>
  </si>
  <si>
    <t>mov.annu.d40.w29d5</t>
  </si>
  <si>
    <t>mov.annu.d40.w29d6</t>
  </si>
  <si>
    <t>mov.annu.610.w30d0</t>
  </si>
  <si>
    <t>mov.annu.d40.w30d1</t>
  </si>
  <si>
    <t>mov.annu.d40.w30d2</t>
  </si>
  <si>
    <t>mov.annu.d40.w30d3</t>
  </si>
  <si>
    <t>mov.annu.d40.w30d4</t>
  </si>
  <si>
    <t>mov.annu.d40.w30d5</t>
  </si>
  <si>
    <t>mov.annu.d40.w30d6</t>
  </si>
  <si>
    <t>mov.annu.610.w31d0</t>
  </si>
  <si>
    <t>mov.annu.d40.w31d1</t>
  </si>
  <si>
    <t>mov.annu.d40.w31d2</t>
  </si>
  <si>
    <t>mov.annu.d40.w31d3</t>
  </si>
  <si>
    <t>mov.annu.d40.w31d4</t>
  </si>
  <si>
    <t>mov.annu.d40.w31d5</t>
  </si>
  <si>
    <t>mov.annu.d40.w31d6</t>
  </si>
  <si>
    <t>mov.annu.610.w32d0</t>
  </si>
  <si>
    <t>mov.annu.d40.w32d1</t>
  </si>
  <si>
    <t>mov.annu.d40.w32d2</t>
  </si>
  <si>
    <t>mov.annu.d40.w32d3</t>
  </si>
  <si>
    <t>mov.annu.d40.w32d4</t>
  </si>
  <si>
    <t>mov.annu.d40.w32d5</t>
  </si>
  <si>
    <t>mov.annu.d40.w32d6</t>
  </si>
  <si>
    <t>mov.annu.610.w33d0</t>
  </si>
  <si>
    <t>mov.annu.d40.w33d1</t>
  </si>
  <si>
    <t>mov.annu.d40.w33d2</t>
  </si>
  <si>
    <t>mov.annu.d40.w33d3</t>
  </si>
  <si>
    <t>mov.annu.d40.w33d4</t>
  </si>
  <si>
    <t>mov.annu.d40.w33d5</t>
  </si>
  <si>
    <t>mov.annu.d40.w33d6</t>
  </si>
  <si>
    <t>mov.annu.610.w34d0</t>
  </si>
  <si>
    <t>mov.annu.d40.w34d1</t>
  </si>
  <si>
    <t>mov.annu.d40.w34d2</t>
  </si>
  <si>
    <t>mov.annu.d40.w34d3</t>
  </si>
  <si>
    <t>mov.annu.d40.w34d4</t>
  </si>
  <si>
    <t>mov.annu.d40.w34d5</t>
  </si>
  <si>
    <t>mov.annu.d40.w34d6</t>
  </si>
  <si>
    <t>mov.quad.230.w00d3</t>
  </si>
  <si>
    <t>mov.quad.930.w00d4</t>
  </si>
  <si>
    <t>mov.quad.930.w00d5</t>
  </si>
  <si>
    <t>mov.quad.930.w00d6</t>
  </si>
  <si>
    <t>mov.quad.220.w01d0</t>
  </si>
  <si>
    <t>mov.quad.930.w01d1</t>
  </si>
  <si>
    <t>mov.quad.930.w01d2</t>
  </si>
  <si>
    <t>mov.quad.930.w01d3</t>
  </si>
  <si>
    <t>mov.quad.930.w01d4</t>
  </si>
  <si>
    <t>mov.quad.930.w01d5</t>
  </si>
  <si>
    <t>mov.quad.930.w01d6</t>
  </si>
  <si>
    <t>mov.quad.220.w02d0</t>
  </si>
  <si>
    <t>mov.quad.930.w02d1</t>
  </si>
  <si>
    <t>mov.quad.930.w02d2</t>
  </si>
  <si>
    <t>mov.quad.930.w02d3</t>
  </si>
  <si>
    <t>mov.quad.930.w02d4</t>
  </si>
  <si>
    <t>mov.quad.930.w02d5</t>
  </si>
  <si>
    <t>mov.quad.930.w02d6</t>
  </si>
  <si>
    <t>mov.quad.220.w03d0</t>
  </si>
  <si>
    <t>mov.quad.930.w03d1</t>
  </si>
  <si>
    <t>mov.quad.930.w03d2</t>
  </si>
  <si>
    <t>mov.quad.930.w03d3</t>
  </si>
  <si>
    <t>mov.quad.930.w03d4</t>
  </si>
  <si>
    <t>mov.quad.930.w03d5</t>
  </si>
  <si>
    <t>mov.quad.930.w03d6</t>
  </si>
  <si>
    <t>mov.quad.220.w04d0</t>
  </si>
  <si>
    <t>mov.quad.930.w04d1</t>
  </si>
  <si>
    <t>mov.quad.930.w04d2</t>
  </si>
  <si>
    <t>mov.quad.930.w04d3</t>
  </si>
  <si>
    <t>mov.quad.930.w04d4</t>
  </si>
  <si>
    <t>mov.quad.930.w04d5</t>
  </si>
  <si>
    <t>mov.quad.930.w04d6</t>
  </si>
  <si>
    <t>mov.quad.220.w05d0</t>
  </si>
  <si>
    <t>mov.quad.930.w05d1</t>
  </si>
  <si>
    <t>mov.quad.930.w05d2</t>
  </si>
  <si>
    <t>mov.quad.930.w05d3</t>
  </si>
  <si>
    <t>mov.quad.930.w05d4</t>
  </si>
  <si>
    <t>mov.quad.930.w05d5</t>
  </si>
  <si>
    <t>mov.quad.930.w05d6</t>
  </si>
  <si>
    <t>mov.quad.220.w06d0</t>
  </si>
  <si>
    <t>mov.quad.240.w06d1</t>
  </si>
  <si>
    <t>mov.quad.240.w06d2</t>
  </si>
  <si>
    <t>mov.quad.240.w06d3</t>
  </si>
  <si>
    <t>mov.quad.200.w06d4</t>
  </si>
  <si>
    <t>mov.quad.110.cendo</t>
  </si>
  <si>
    <t>mov.quad.110.pasdo</t>
  </si>
  <si>
    <t>mov.quad.110.sabsa</t>
  </si>
  <si>
    <t>mov.psch.110.w01d0</t>
  </si>
  <si>
    <t>mov.psch.250.w01d1</t>
  </si>
  <si>
    <t>mov.psch.250.w01d2</t>
  </si>
  <si>
    <t>mov.psch.250.w01d3</t>
  </si>
  <si>
    <t>mov.psch.250.w01d4</t>
  </si>
  <si>
    <t>mov.psch.250.w01d5</t>
  </si>
  <si>
    <t>mov.psch.250.w01d6</t>
  </si>
  <si>
    <t>mov.psch.220.w02d0</t>
  </si>
  <si>
    <t>mov.psch.d30.w02d1</t>
  </si>
  <si>
    <t>mov.psch.d30.w02d2</t>
  </si>
  <si>
    <t>mov.psch.d30.w02d3</t>
  </si>
  <si>
    <t>mov.psch.d30.w02d4</t>
  </si>
  <si>
    <t>mov.psch.d30.w02d5</t>
  </si>
  <si>
    <t>mov.psch.d30.w02d6</t>
  </si>
  <si>
    <t>mov.psch.220.w03d0</t>
  </si>
  <si>
    <t>mov.psch.d30.w03d1</t>
  </si>
  <si>
    <t>mov.psch.d30.w03d2</t>
  </si>
  <si>
    <t>mov.psch.d30.w03d3</t>
  </si>
  <si>
    <t>mov.psch.d30.w03d4</t>
  </si>
  <si>
    <t>mov.psch.d30.w03d5</t>
  </si>
  <si>
    <t>mov.psch.d30.w03d6</t>
  </si>
  <si>
    <t>mov.psch.220.w04d0</t>
  </si>
  <si>
    <t>mov.psch.d30.w04d1</t>
  </si>
  <si>
    <t>mov.psch.d30.w04d2</t>
  </si>
  <si>
    <t>mov.psch.d30.w04d3</t>
  </si>
  <si>
    <t>mov.psch.d30.w04d4</t>
  </si>
  <si>
    <t>mov.psch.d30.w04d5</t>
  </si>
  <si>
    <t>mov.psch.d30.w04d6</t>
  </si>
  <si>
    <t>mov.psch.220.w05d0</t>
  </si>
  <si>
    <t>mov.psch.d30.w05d1</t>
  </si>
  <si>
    <t>mov.psch.d30.w05d2</t>
  </si>
  <si>
    <t>mov.psch.d30.w05d3</t>
  </si>
  <si>
    <t>mov.psch.d30.w05d4</t>
  </si>
  <si>
    <t>mov.psch.d30.w05d5</t>
  </si>
  <si>
    <t>mov.psch.d30.w05d6</t>
  </si>
  <si>
    <t>mov.psch.220.w06d0</t>
  </si>
  <si>
    <t>mov.psch.d30.w06d1</t>
  </si>
  <si>
    <t>mov.psch.d30.w06d2</t>
  </si>
  <si>
    <t>mov.psch.d30.w06d3</t>
  </si>
  <si>
    <t>mov.psch.d30.w06d4</t>
  </si>
  <si>
    <t>mov.psch.d30.w06d5</t>
  </si>
  <si>
    <t>mov.psch.d30.w06d6</t>
  </si>
  <si>
    <t>mov.psch.220.w07d0</t>
  </si>
  <si>
    <t>mov.psch.d30.w07d1</t>
  </si>
  <si>
    <t>mov.psch.d30.w07d2</t>
  </si>
  <si>
    <t>mov.psch.d30.w07d3</t>
  </si>
  <si>
    <t>mov.psch.d30.w07d4</t>
  </si>
  <si>
    <t>mov.psch.d30.w07d5</t>
  </si>
  <si>
    <t>mov.psch.d30.w07d6</t>
  </si>
  <si>
    <t>mov.psch.210.ascen</t>
  </si>
  <si>
    <t>mov.psch.210.w08d0</t>
  </si>
  <si>
    <t>mov.annu.a10.eccma</t>
  </si>
  <si>
    <t>mov.annu.310.trini</t>
  </si>
  <si>
    <t>mov.annu.310.corsa</t>
  </si>
  <si>
    <t>mov.annu.310.corie</t>
  </si>
  <si>
    <t>mov.annu.a10.corma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</si>
</sst>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\ \-\ d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Mono"/>
      <family val="3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164" fontId="0" fillId="0" borderId="0" xfId="0" applyNumberFormat="1"/>
    <xf numFmtId="0" fontId="0" fillId="0" borderId="0" xfId="0" applyAlignment="1">
      <alignment wrapText="1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49" fontId="0" fillId="0" borderId="0" xfId="0" applyNumberFormat="1" applyAlignment="1">
      <alignment wrapText="1"/>
    </xf>
    <xf numFmtId="49" fontId="0" fillId="0" borderId="0" xfId="0" applyNumberFormat="1"/>
    <xf numFmtId="49" fontId="1" fillId="0" borderId="0" xfId="0" applyNumberFormat="1" applyFont="1"/>
    <xf numFmtId="0" fontId="1" fillId="0" borderId="0" xfId="0" applyFont="1" applyAlignment="1">
      <alignment horizontal="center" vertical="center"/>
    </xf>
    <xf numFmtId="0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vertical="center"/>
    </xf>
    <xf numFmtId="49" fontId="1" fillId="0" borderId="0" xfId="0" applyNumberFormat="1" applyFont="1" applyAlignment="1">
      <alignment vertic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CC5FE-5DAE-4F67-804D-974ECED54C21}">
  <dimension ref="A1:I234"/>
  <sheetViews>
    <sheetView tabSelected="1" zoomScale="70" zoomScaleNormal="70" workbookViewId="0">
      <selection activeCell="A4" sqref="A4"/>
    </sheetView>
  </sheetViews>
  <sheetFormatPr defaultRowHeight="14.4" x14ac:dyDescent="0.3"/>
  <cols>
    <col min="1" max="1" width="28.77734375" style="12" bestFit="1" customWidth="1"/>
    <col min="2" max="2" width="8.5546875" style="12" bestFit="1" customWidth="1"/>
    <col min="3" max="4" width="12.21875" style="12" bestFit="1" customWidth="1"/>
    <col min="5" max="5" width="13.44140625" style="12" bestFit="1" customWidth="1"/>
    <col min="6" max="6" width="9.77734375" style="12" bestFit="1" customWidth="1"/>
    <col min="7" max="7" width="102.33203125" style="15" bestFit="1" customWidth="1"/>
    <col min="8" max="8" width="127.6640625" style="15" bestFit="1" customWidth="1"/>
    <col min="9" max="9" width="72.5546875" style="15" bestFit="1" customWidth="1"/>
    <col min="10" max="16384" width="8.88671875" style="15"/>
  </cols>
  <sheetData>
    <row r="1" spans="1:9" x14ac:dyDescent="0.3">
      <c r="A1" s="12" t="s">
        <v>0</v>
      </c>
    </row>
    <row r="2" spans="1:9" x14ac:dyDescent="0.3">
      <c r="C2" s="12" t="s">
        <v>1163</v>
      </c>
    </row>
    <row r="3" spans="1:9" x14ac:dyDescent="0.3">
      <c r="A3" s="12" t="s">
        <v>1156</v>
      </c>
      <c r="B3" s="12" t="s">
        <v>1157</v>
      </c>
      <c r="C3" s="12" t="s">
        <v>1158</v>
      </c>
      <c r="D3" s="12" t="s">
        <v>1159</v>
      </c>
      <c r="E3" s="12" t="s">
        <v>1160</v>
      </c>
      <c r="F3" s="12" t="s">
        <v>1161</v>
      </c>
      <c r="G3" s="15" t="s">
        <v>583</v>
      </c>
      <c r="H3" s="15" t="s">
        <v>584</v>
      </c>
      <c r="I3" s="15" t="s">
        <v>585</v>
      </c>
    </row>
    <row r="4" spans="1:9" x14ac:dyDescent="0.3">
      <c r="A4" s="12" t="s">
        <v>2933</v>
      </c>
      <c r="B4" s="12" t="s">
        <v>578</v>
      </c>
      <c r="C4" s="12" t="s">
        <v>1164</v>
      </c>
      <c r="D4" s="12" t="s">
        <v>1165</v>
      </c>
      <c r="E4" s="13" t="s">
        <v>1596</v>
      </c>
      <c r="F4" s="13" t="s">
        <v>1378</v>
      </c>
      <c r="G4" s="16" t="s">
        <v>587</v>
      </c>
      <c r="H4" s="16" t="s">
        <v>589</v>
      </c>
      <c r="I4" s="16" t="s">
        <v>588</v>
      </c>
    </row>
    <row r="5" spans="1:9" x14ac:dyDescent="0.3">
      <c r="A5" s="12" t="s">
        <v>2934</v>
      </c>
      <c r="B5" s="12" t="s">
        <v>578</v>
      </c>
      <c r="C5" s="12" t="s">
        <v>1166</v>
      </c>
      <c r="D5" s="12" t="s">
        <v>1590</v>
      </c>
      <c r="E5" s="13" t="s">
        <v>1589</v>
      </c>
      <c r="F5" s="13" t="s">
        <v>1379</v>
      </c>
      <c r="G5" s="16" t="s">
        <v>25</v>
      </c>
      <c r="H5" s="16" t="s">
        <v>590</v>
      </c>
      <c r="I5" s="16" t="s">
        <v>94</v>
      </c>
    </row>
    <row r="6" spans="1:9" x14ac:dyDescent="0.3">
      <c r="A6" s="12" t="s">
        <v>2935</v>
      </c>
      <c r="B6" s="12" t="s">
        <v>578</v>
      </c>
      <c r="C6" s="12" t="s">
        <v>1167</v>
      </c>
      <c r="D6" s="12" t="s">
        <v>1591</v>
      </c>
      <c r="E6" s="13" t="s">
        <v>1589</v>
      </c>
      <c r="F6" s="13" t="s">
        <v>1380</v>
      </c>
      <c r="G6" s="16" t="s">
        <v>6</v>
      </c>
      <c r="H6" s="16" t="s">
        <v>591</v>
      </c>
      <c r="I6" s="16" t="s">
        <v>95</v>
      </c>
    </row>
    <row r="7" spans="1:9" x14ac:dyDescent="0.3">
      <c r="A7" s="12" t="s">
        <v>2936</v>
      </c>
      <c r="B7" s="12" t="s">
        <v>578</v>
      </c>
      <c r="C7" s="12" t="s">
        <v>1169</v>
      </c>
      <c r="D7" s="12" t="s">
        <v>1591</v>
      </c>
      <c r="E7" s="13" t="s">
        <v>1589</v>
      </c>
      <c r="F7" s="13" t="s">
        <v>1381</v>
      </c>
      <c r="G7" s="16" t="s">
        <v>11</v>
      </c>
      <c r="H7" s="16" t="s">
        <v>593</v>
      </c>
      <c r="I7" s="16" t="s">
        <v>97</v>
      </c>
    </row>
    <row r="8" spans="1:9" x14ac:dyDescent="0.3">
      <c r="A8" s="12" t="s">
        <v>2937</v>
      </c>
      <c r="B8" s="12" t="s">
        <v>578</v>
      </c>
      <c r="C8" s="12" t="s">
        <v>1170</v>
      </c>
      <c r="D8" s="12" t="s">
        <v>1591</v>
      </c>
      <c r="E8" s="13" t="s">
        <v>1589</v>
      </c>
      <c r="F8" s="13" t="s">
        <v>1382</v>
      </c>
      <c r="G8" s="16" t="s">
        <v>12</v>
      </c>
      <c r="H8" s="16" t="s">
        <v>594</v>
      </c>
      <c r="I8" s="16" t="s">
        <v>98</v>
      </c>
    </row>
    <row r="9" spans="1:9" x14ac:dyDescent="0.3">
      <c r="A9" s="12" t="s">
        <v>2938</v>
      </c>
      <c r="B9" s="12" t="s">
        <v>578</v>
      </c>
      <c r="C9" s="12" t="s">
        <v>1171</v>
      </c>
      <c r="D9" s="12" t="s">
        <v>1590</v>
      </c>
      <c r="E9" s="13" t="s">
        <v>1589</v>
      </c>
      <c r="F9" s="13" t="s">
        <v>1383</v>
      </c>
      <c r="G9" s="16" t="s">
        <v>13</v>
      </c>
      <c r="H9" s="16" t="s">
        <v>595</v>
      </c>
      <c r="I9" s="16" t="s">
        <v>99</v>
      </c>
    </row>
    <row r="10" spans="1:9" x14ac:dyDescent="0.3">
      <c r="A10" s="12" t="s">
        <v>2939</v>
      </c>
      <c r="B10" s="12" t="s">
        <v>578</v>
      </c>
      <c r="C10" s="12" t="s">
        <v>1172</v>
      </c>
      <c r="D10" s="12" t="s">
        <v>1591</v>
      </c>
      <c r="E10" s="13" t="s">
        <v>1597</v>
      </c>
      <c r="F10" s="13" t="s">
        <v>1384</v>
      </c>
      <c r="G10" s="16" t="s">
        <v>14</v>
      </c>
      <c r="H10" s="16" t="s">
        <v>596</v>
      </c>
      <c r="I10" s="16" t="s">
        <v>100</v>
      </c>
    </row>
    <row r="11" spans="1:9" x14ac:dyDescent="0.3">
      <c r="A11" s="12" t="s">
        <v>2940</v>
      </c>
      <c r="B11" s="12" t="s">
        <v>578</v>
      </c>
      <c r="C11" s="12" t="s">
        <v>1172</v>
      </c>
      <c r="D11" s="12" t="s">
        <v>1591</v>
      </c>
      <c r="E11" s="13" t="s">
        <v>1597</v>
      </c>
      <c r="F11" s="13" t="s">
        <v>1385</v>
      </c>
      <c r="G11" s="16" t="s">
        <v>15</v>
      </c>
      <c r="H11" s="16" t="s">
        <v>597</v>
      </c>
      <c r="I11" s="16" t="s">
        <v>101</v>
      </c>
    </row>
    <row r="12" spans="1:9" x14ac:dyDescent="0.3">
      <c r="A12" s="12" t="s">
        <v>2941</v>
      </c>
      <c r="B12" s="12" t="s">
        <v>578</v>
      </c>
      <c r="C12" s="12" t="s">
        <v>1173</v>
      </c>
      <c r="D12" s="12" t="s">
        <v>1590</v>
      </c>
      <c r="E12" s="13" t="s">
        <v>1597</v>
      </c>
      <c r="F12" s="13" t="s">
        <v>1386</v>
      </c>
      <c r="G12" s="16" t="s">
        <v>16</v>
      </c>
      <c r="H12" s="16" t="s">
        <v>598</v>
      </c>
      <c r="I12" s="16" t="s">
        <v>102</v>
      </c>
    </row>
    <row r="13" spans="1:9" x14ac:dyDescent="0.3">
      <c r="A13" s="12" t="s">
        <v>2942</v>
      </c>
      <c r="B13" s="12" t="s">
        <v>578</v>
      </c>
      <c r="C13" s="12" t="s">
        <v>1174</v>
      </c>
      <c r="D13" s="12" t="s">
        <v>1591</v>
      </c>
      <c r="E13" s="13" t="s">
        <v>1597</v>
      </c>
      <c r="F13" s="13" t="s">
        <v>1387</v>
      </c>
      <c r="G13" s="16" t="s">
        <v>17</v>
      </c>
      <c r="H13" s="16" t="s">
        <v>599</v>
      </c>
      <c r="I13" s="16" t="s">
        <v>103</v>
      </c>
    </row>
    <row r="14" spans="1:9" x14ac:dyDescent="0.3">
      <c r="A14" s="12" t="s">
        <v>2943</v>
      </c>
      <c r="B14" s="12" t="s">
        <v>578</v>
      </c>
      <c r="C14" s="12" t="s">
        <v>1175</v>
      </c>
      <c r="D14" s="12" t="s">
        <v>1590</v>
      </c>
      <c r="E14" s="13" t="s">
        <v>1589</v>
      </c>
      <c r="F14" s="13" t="s">
        <v>1388</v>
      </c>
      <c r="G14" s="16" t="s">
        <v>18</v>
      </c>
      <c r="H14" s="16" t="s">
        <v>600</v>
      </c>
      <c r="I14" s="16" t="s">
        <v>104</v>
      </c>
    </row>
    <row r="15" spans="1:9" x14ac:dyDescent="0.3">
      <c r="A15" s="12" t="s">
        <v>2944</v>
      </c>
      <c r="B15" s="12" t="s">
        <v>578</v>
      </c>
      <c r="C15" s="12" t="s">
        <v>1176</v>
      </c>
      <c r="D15" s="12" t="s">
        <v>1177</v>
      </c>
      <c r="E15" s="13" t="s">
        <v>1589</v>
      </c>
      <c r="F15" s="13" t="s">
        <v>1389</v>
      </c>
      <c r="G15" s="16" t="s">
        <v>19</v>
      </c>
      <c r="H15" s="16" t="s">
        <v>601</v>
      </c>
      <c r="I15" s="16" t="s">
        <v>105</v>
      </c>
    </row>
    <row r="16" spans="1:9" x14ac:dyDescent="0.3">
      <c r="A16" s="12" t="s">
        <v>2945</v>
      </c>
      <c r="B16" s="12" t="s">
        <v>578</v>
      </c>
      <c r="C16" s="12" t="s">
        <v>1178</v>
      </c>
      <c r="D16" s="12" t="s">
        <v>1590</v>
      </c>
      <c r="E16" s="13" t="s">
        <v>1589</v>
      </c>
      <c r="F16" s="13" t="s">
        <v>1390</v>
      </c>
      <c r="G16" s="16" t="s">
        <v>22</v>
      </c>
      <c r="H16" s="16" t="s">
        <v>602</v>
      </c>
      <c r="I16" s="16" t="s">
        <v>106</v>
      </c>
    </row>
    <row r="17" spans="1:9" x14ac:dyDescent="0.3">
      <c r="A17" s="12" t="s">
        <v>2946</v>
      </c>
      <c r="B17" s="12" t="s">
        <v>578</v>
      </c>
      <c r="C17" s="12" t="s">
        <v>1179</v>
      </c>
      <c r="D17" s="12" t="s">
        <v>1591</v>
      </c>
      <c r="E17" s="13" t="s">
        <v>1589</v>
      </c>
      <c r="F17" s="13" t="s">
        <v>1391</v>
      </c>
      <c r="G17" s="16" t="s">
        <v>23</v>
      </c>
      <c r="H17" s="16" t="s">
        <v>603</v>
      </c>
      <c r="I17" s="16" t="s">
        <v>107</v>
      </c>
    </row>
    <row r="18" spans="1:9" x14ac:dyDescent="0.3">
      <c r="A18" s="12" t="s">
        <v>2947</v>
      </c>
      <c r="B18" s="12" t="s">
        <v>578</v>
      </c>
      <c r="C18" s="12" t="s">
        <v>1180</v>
      </c>
      <c r="D18" s="12" t="s">
        <v>1590</v>
      </c>
      <c r="E18" s="13" t="s">
        <v>1589</v>
      </c>
      <c r="F18" s="13" t="s">
        <v>1392</v>
      </c>
      <c r="G18" s="16" t="s">
        <v>24</v>
      </c>
      <c r="H18" s="16" t="s">
        <v>604</v>
      </c>
      <c r="I18" s="16" t="s">
        <v>108</v>
      </c>
    </row>
    <row r="19" spans="1:9" x14ac:dyDescent="0.3">
      <c r="A19" s="12" t="s">
        <v>2948</v>
      </c>
      <c r="B19" s="12" t="s">
        <v>578</v>
      </c>
      <c r="C19" s="12" t="s">
        <v>1181</v>
      </c>
      <c r="D19" s="12" t="s">
        <v>1590</v>
      </c>
      <c r="E19" s="13" t="s">
        <v>1589</v>
      </c>
      <c r="F19" s="13" t="s">
        <v>1393</v>
      </c>
      <c r="G19" s="16" t="s">
        <v>26</v>
      </c>
      <c r="H19" s="16" t="s">
        <v>605</v>
      </c>
      <c r="I19" s="16" t="s">
        <v>109</v>
      </c>
    </row>
    <row r="20" spans="1:9" x14ac:dyDescent="0.3">
      <c r="A20" s="12" t="s">
        <v>2949</v>
      </c>
      <c r="B20" s="12" t="s">
        <v>578</v>
      </c>
      <c r="C20" s="12" t="s">
        <v>1182</v>
      </c>
      <c r="D20" s="12" t="s">
        <v>1183</v>
      </c>
      <c r="E20" s="13" t="s">
        <v>1589</v>
      </c>
      <c r="F20" s="13" t="s">
        <v>1394</v>
      </c>
      <c r="G20" s="16" t="s">
        <v>27</v>
      </c>
      <c r="H20" s="16" t="s">
        <v>607</v>
      </c>
      <c r="I20" s="16" t="s">
        <v>110</v>
      </c>
    </row>
    <row r="21" spans="1:9" x14ac:dyDescent="0.3">
      <c r="A21" s="12" t="s">
        <v>2950</v>
      </c>
      <c r="B21" s="12" t="s">
        <v>578</v>
      </c>
      <c r="C21" s="12" t="s">
        <v>1184</v>
      </c>
      <c r="D21" s="12" t="s">
        <v>1591</v>
      </c>
      <c r="E21" s="13" t="s">
        <v>1597</v>
      </c>
      <c r="F21" s="13" t="s">
        <v>1395</v>
      </c>
      <c r="G21" s="16" t="s">
        <v>28</v>
      </c>
      <c r="H21" s="16" t="s">
        <v>608</v>
      </c>
      <c r="I21" s="16" t="s">
        <v>111</v>
      </c>
    </row>
    <row r="22" spans="1:9" x14ac:dyDescent="0.3">
      <c r="A22" s="12" t="s">
        <v>2951</v>
      </c>
      <c r="B22" s="12" t="s">
        <v>578</v>
      </c>
      <c r="C22" s="12" t="s">
        <v>1184</v>
      </c>
      <c r="D22" s="12" t="s">
        <v>1591</v>
      </c>
      <c r="E22" s="13" t="s">
        <v>1589</v>
      </c>
      <c r="F22" s="13" t="s">
        <v>1396</v>
      </c>
      <c r="G22" s="16" t="s">
        <v>29</v>
      </c>
      <c r="H22" s="16" t="s">
        <v>609</v>
      </c>
      <c r="I22" s="16" t="s">
        <v>112</v>
      </c>
    </row>
    <row r="23" spans="1:9" x14ac:dyDescent="0.3">
      <c r="A23" s="12" t="s">
        <v>2952</v>
      </c>
      <c r="B23" s="12" t="s">
        <v>578</v>
      </c>
      <c r="C23" s="12" t="s">
        <v>1185</v>
      </c>
      <c r="D23" s="12" t="s">
        <v>1590</v>
      </c>
      <c r="E23" s="13" t="s">
        <v>1597</v>
      </c>
      <c r="F23" s="13" t="s">
        <v>1397</v>
      </c>
      <c r="G23" s="16" t="s">
        <v>30</v>
      </c>
      <c r="H23" s="16" t="s">
        <v>610</v>
      </c>
      <c r="I23" s="16" t="s">
        <v>113</v>
      </c>
    </row>
    <row r="24" spans="1:9" x14ac:dyDescent="0.3">
      <c r="A24" s="12" t="s">
        <v>2953</v>
      </c>
      <c r="B24" s="12" t="s">
        <v>578</v>
      </c>
      <c r="C24" s="12" t="s">
        <v>1186</v>
      </c>
      <c r="D24" s="12" t="s">
        <v>1590</v>
      </c>
      <c r="E24" s="13" t="s">
        <v>1597</v>
      </c>
      <c r="F24" s="13" t="s">
        <v>1398</v>
      </c>
      <c r="G24" s="16" t="s">
        <v>31</v>
      </c>
      <c r="H24" s="16" t="s">
        <v>611</v>
      </c>
      <c r="I24" s="16" t="s">
        <v>114</v>
      </c>
    </row>
    <row r="25" spans="1:9" x14ac:dyDescent="0.3">
      <c r="A25" s="12" t="s">
        <v>2954</v>
      </c>
      <c r="B25" s="12" t="s">
        <v>578</v>
      </c>
      <c r="C25" s="12" t="s">
        <v>1187</v>
      </c>
      <c r="D25" s="12" t="s">
        <v>1591</v>
      </c>
      <c r="E25" s="13" t="s">
        <v>1589</v>
      </c>
      <c r="F25" s="13" t="s">
        <v>1399</v>
      </c>
      <c r="G25" s="16" t="s">
        <v>32</v>
      </c>
      <c r="H25" s="16" t="s">
        <v>612</v>
      </c>
      <c r="I25" s="16" t="s">
        <v>115</v>
      </c>
    </row>
    <row r="26" spans="1:9" x14ac:dyDescent="0.3">
      <c r="A26" s="12" t="s">
        <v>2955</v>
      </c>
      <c r="B26" s="12" t="s">
        <v>578</v>
      </c>
      <c r="C26" s="12" t="s">
        <v>1187</v>
      </c>
      <c r="D26" s="12" t="s">
        <v>1591</v>
      </c>
      <c r="E26" s="13" t="s">
        <v>1589</v>
      </c>
      <c r="F26" s="13" t="s">
        <v>1400</v>
      </c>
      <c r="G26" s="16" t="s">
        <v>33</v>
      </c>
      <c r="H26" s="16" t="s">
        <v>613</v>
      </c>
      <c r="I26" s="16" t="s">
        <v>116</v>
      </c>
    </row>
    <row r="27" spans="1:9" x14ac:dyDescent="0.3">
      <c r="A27" s="12" t="s">
        <v>2956</v>
      </c>
      <c r="B27" s="12" t="s">
        <v>578</v>
      </c>
      <c r="C27" s="12" t="s">
        <v>1188</v>
      </c>
      <c r="D27" s="12" t="s">
        <v>1590</v>
      </c>
      <c r="E27" s="13" t="s">
        <v>1589</v>
      </c>
      <c r="F27" s="13" t="s">
        <v>1401</v>
      </c>
      <c r="G27" s="16" t="s">
        <v>34</v>
      </c>
      <c r="H27" s="16" t="s">
        <v>614</v>
      </c>
      <c r="I27" s="16" t="s">
        <v>117</v>
      </c>
    </row>
    <row r="28" spans="1:9" x14ac:dyDescent="0.3">
      <c r="A28" s="12" t="s">
        <v>2957</v>
      </c>
      <c r="B28" s="12" t="s">
        <v>578</v>
      </c>
      <c r="C28" s="12" t="s">
        <v>1189</v>
      </c>
      <c r="D28" s="12" t="s">
        <v>1591</v>
      </c>
      <c r="E28" s="13" t="s">
        <v>1596</v>
      </c>
      <c r="F28" s="13" t="s">
        <v>1402</v>
      </c>
      <c r="G28" s="16" t="s">
        <v>35</v>
      </c>
      <c r="H28" s="16" t="s">
        <v>615</v>
      </c>
      <c r="I28" s="16" t="s">
        <v>118</v>
      </c>
    </row>
    <row r="29" spans="1:9" x14ac:dyDescent="0.3">
      <c r="A29" s="12" t="s">
        <v>2958</v>
      </c>
      <c r="B29" s="12" t="s">
        <v>578</v>
      </c>
      <c r="C29" s="12" t="s">
        <v>1190</v>
      </c>
      <c r="D29" s="12" t="s">
        <v>1590</v>
      </c>
      <c r="E29" s="13" t="s">
        <v>1589</v>
      </c>
      <c r="F29" s="13" t="s">
        <v>1403</v>
      </c>
      <c r="G29" s="16" t="s">
        <v>36</v>
      </c>
      <c r="H29" s="16" t="s">
        <v>616</v>
      </c>
      <c r="I29" s="16" t="s">
        <v>119</v>
      </c>
    </row>
    <row r="30" spans="1:9" x14ac:dyDescent="0.3">
      <c r="A30" s="12" t="s">
        <v>2959</v>
      </c>
      <c r="B30" s="12" t="s">
        <v>578</v>
      </c>
      <c r="C30" s="12" t="s">
        <v>1191</v>
      </c>
      <c r="D30" s="12" t="s">
        <v>1591</v>
      </c>
      <c r="E30" s="13" t="s">
        <v>1589</v>
      </c>
      <c r="F30" s="13" t="s">
        <v>1404</v>
      </c>
      <c r="G30" s="16" t="s">
        <v>37</v>
      </c>
      <c r="H30" s="16" t="s">
        <v>617</v>
      </c>
      <c r="I30" s="16" t="s">
        <v>120</v>
      </c>
    </row>
    <row r="31" spans="1:9" x14ac:dyDescent="0.3">
      <c r="A31" s="12" t="s">
        <v>2960</v>
      </c>
      <c r="B31" s="12" t="s">
        <v>578</v>
      </c>
      <c r="C31" s="12" t="s">
        <v>1192</v>
      </c>
      <c r="D31" s="12" t="s">
        <v>1591</v>
      </c>
      <c r="E31" s="13" t="s">
        <v>1589</v>
      </c>
      <c r="F31" s="13" t="s">
        <v>1405</v>
      </c>
      <c r="G31" s="16" t="s">
        <v>38</v>
      </c>
      <c r="H31" s="16" t="s">
        <v>618</v>
      </c>
      <c r="I31" s="16" t="s">
        <v>121</v>
      </c>
    </row>
    <row r="32" spans="1:9" x14ac:dyDescent="0.3">
      <c r="A32" s="12" t="s">
        <v>2961</v>
      </c>
      <c r="B32" s="12" t="s">
        <v>578</v>
      </c>
      <c r="C32" s="12" t="s">
        <v>1193</v>
      </c>
      <c r="D32" s="12" t="s">
        <v>1177</v>
      </c>
      <c r="E32" s="13" t="s">
        <v>1589</v>
      </c>
      <c r="F32" s="13" t="s">
        <v>1406</v>
      </c>
      <c r="G32" s="16" t="s">
        <v>39</v>
      </c>
      <c r="H32" s="16" t="s">
        <v>619</v>
      </c>
      <c r="I32" s="16" t="s">
        <v>122</v>
      </c>
    </row>
    <row r="33" spans="1:9" x14ac:dyDescent="0.3">
      <c r="A33" s="12" t="s">
        <v>2962</v>
      </c>
      <c r="B33" s="12" t="s">
        <v>578</v>
      </c>
      <c r="C33" s="12" t="s">
        <v>1194</v>
      </c>
      <c r="D33" s="12" t="s">
        <v>1590</v>
      </c>
      <c r="E33" s="13" t="s">
        <v>1597</v>
      </c>
      <c r="F33" s="13" t="s">
        <v>1407</v>
      </c>
      <c r="G33" s="16" t="s">
        <v>40</v>
      </c>
      <c r="H33" s="16" t="s">
        <v>620</v>
      </c>
      <c r="I33" s="16" t="s">
        <v>123</v>
      </c>
    </row>
    <row r="34" spans="1:9" x14ac:dyDescent="0.3">
      <c r="A34" s="12" t="s">
        <v>2963</v>
      </c>
      <c r="B34" s="12" t="s">
        <v>578</v>
      </c>
      <c r="C34" s="12" t="s">
        <v>1195</v>
      </c>
      <c r="D34" s="12" t="s">
        <v>1591</v>
      </c>
      <c r="E34" s="13" t="s">
        <v>1589</v>
      </c>
      <c r="F34" s="13" t="s">
        <v>1408</v>
      </c>
      <c r="G34" s="16" t="s">
        <v>433</v>
      </c>
      <c r="H34" s="16" t="s">
        <v>1140</v>
      </c>
      <c r="I34" s="16" t="s">
        <v>451</v>
      </c>
    </row>
    <row r="35" spans="1:9" x14ac:dyDescent="0.3">
      <c r="A35" s="12" t="s">
        <v>2964</v>
      </c>
      <c r="B35" s="12" t="s">
        <v>578</v>
      </c>
      <c r="C35" s="12" t="s">
        <v>1196</v>
      </c>
      <c r="D35" s="12" t="s">
        <v>1591</v>
      </c>
      <c r="E35" s="13" t="s">
        <v>1589</v>
      </c>
      <c r="F35" s="13" t="s">
        <v>1409</v>
      </c>
      <c r="G35" s="16" t="s">
        <v>41</v>
      </c>
      <c r="H35" s="16" t="s">
        <v>621</v>
      </c>
      <c r="I35" s="16" t="s">
        <v>124</v>
      </c>
    </row>
    <row r="36" spans="1:9" x14ac:dyDescent="0.3">
      <c r="A36" s="12" t="s">
        <v>2965</v>
      </c>
      <c r="B36" s="12" t="s">
        <v>578</v>
      </c>
      <c r="C36" s="12" t="s">
        <v>1197</v>
      </c>
      <c r="D36" s="12" t="s">
        <v>1590</v>
      </c>
      <c r="E36" s="13" t="s">
        <v>1597</v>
      </c>
      <c r="F36" s="13" t="s">
        <v>1410</v>
      </c>
      <c r="G36" s="16" t="s">
        <v>42</v>
      </c>
      <c r="H36" s="16" t="s">
        <v>622</v>
      </c>
      <c r="I36" s="16" t="s">
        <v>125</v>
      </c>
    </row>
    <row r="37" spans="1:9" x14ac:dyDescent="0.3">
      <c r="A37" s="12" t="s">
        <v>2966</v>
      </c>
      <c r="B37" s="12" t="s">
        <v>578</v>
      </c>
      <c r="C37" s="12" t="s">
        <v>1198</v>
      </c>
      <c r="D37" s="12" t="s">
        <v>1591</v>
      </c>
      <c r="E37" s="13" t="s">
        <v>1589</v>
      </c>
      <c r="F37" s="13" t="s">
        <v>1411</v>
      </c>
      <c r="G37" s="16" t="s">
        <v>43</v>
      </c>
      <c r="H37" s="16" t="s">
        <v>623</v>
      </c>
      <c r="I37" s="16" t="s">
        <v>126</v>
      </c>
    </row>
    <row r="38" spans="1:9" x14ac:dyDescent="0.3">
      <c r="A38" s="12" t="s">
        <v>2967</v>
      </c>
      <c r="B38" s="12" t="s">
        <v>578</v>
      </c>
      <c r="C38" s="12" t="s">
        <v>1199</v>
      </c>
      <c r="D38" s="12" t="s">
        <v>1591</v>
      </c>
      <c r="E38" s="13" t="s">
        <v>1589</v>
      </c>
      <c r="F38" s="13" t="s">
        <v>1412</v>
      </c>
      <c r="G38" s="16" t="s">
        <v>44</v>
      </c>
      <c r="H38" s="16" t="s">
        <v>624</v>
      </c>
      <c r="I38" s="16" t="s">
        <v>127</v>
      </c>
    </row>
    <row r="39" spans="1:9" x14ac:dyDescent="0.3">
      <c r="A39" s="12" t="s">
        <v>2968</v>
      </c>
      <c r="B39" s="12" t="s">
        <v>578</v>
      </c>
      <c r="C39" s="12" t="s">
        <v>1200</v>
      </c>
      <c r="D39" s="12" t="s">
        <v>1591</v>
      </c>
      <c r="E39" s="13" t="s">
        <v>1589</v>
      </c>
      <c r="F39" s="13" t="s">
        <v>1413</v>
      </c>
      <c r="G39" s="16" t="s">
        <v>45</v>
      </c>
      <c r="H39" s="16" t="s">
        <v>625</v>
      </c>
      <c r="I39" s="16" t="s">
        <v>128</v>
      </c>
    </row>
    <row r="40" spans="1:9" x14ac:dyDescent="0.3">
      <c r="A40" s="12" t="s">
        <v>2969</v>
      </c>
      <c r="B40" s="12" t="s">
        <v>578</v>
      </c>
      <c r="C40" s="12" t="s">
        <v>1201</v>
      </c>
      <c r="D40" s="12" t="s">
        <v>1591</v>
      </c>
      <c r="E40" s="13" t="s">
        <v>1589</v>
      </c>
      <c r="F40" s="13" t="s">
        <v>1414</v>
      </c>
      <c r="G40" s="16" t="s">
        <v>46</v>
      </c>
      <c r="H40" s="16" t="s">
        <v>626</v>
      </c>
      <c r="I40" s="16" t="s">
        <v>129</v>
      </c>
    </row>
    <row r="41" spans="1:9" x14ac:dyDescent="0.3">
      <c r="A41" s="12" t="s">
        <v>2970</v>
      </c>
      <c r="B41" s="12" t="s">
        <v>578</v>
      </c>
      <c r="C41" s="12" t="s">
        <v>1202</v>
      </c>
      <c r="D41" s="12" t="s">
        <v>1165</v>
      </c>
      <c r="E41" s="13" t="s">
        <v>1589</v>
      </c>
      <c r="F41" s="13" t="s">
        <v>1415</v>
      </c>
      <c r="G41" s="16" t="s">
        <v>47</v>
      </c>
      <c r="H41" s="16" t="s">
        <v>627</v>
      </c>
      <c r="I41" s="16" t="s">
        <v>130</v>
      </c>
    </row>
    <row r="42" spans="1:9" x14ac:dyDescent="0.3">
      <c r="A42" s="12" t="s">
        <v>2971</v>
      </c>
      <c r="B42" s="12" t="s">
        <v>578</v>
      </c>
      <c r="C42" s="12" t="s">
        <v>1203</v>
      </c>
      <c r="D42" s="12" t="s">
        <v>1591</v>
      </c>
      <c r="E42" s="13" t="s">
        <v>1589</v>
      </c>
      <c r="F42" s="13" t="s">
        <v>1416</v>
      </c>
      <c r="G42" s="16" t="s">
        <v>48</v>
      </c>
      <c r="H42" s="16" t="s">
        <v>628</v>
      </c>
      <c r="I42" s="16" t="s">
        <v>131</v>
      </c>
    </row>
    <row r="43" spans="1:9" x14ac:dyDescent="0.3">
      <c r="A43" s="12" t="s">
        <v>2972</v>
      </c>
      <c r="B43" s="12" t="s">
        <v>578</v>
      </c>
      <c r="C43" s="12" t="s">
        <v>1204</v>
      </c>
      <c r="D43" s="12" t="s">
        <v>1165</v>
      </c>
      <c r="E43" s="13" t="s">
        <v>1589</v>
      </c>
      <c r="F43" s="13" t="s">
        <v>1417</v>
      </c>
      <c r="G43" s="16" t="s">
        <v>49</v>
      </c>
      <c r="H43" s="16" t="s">
        <v>629</v>
      </c>
      <c r="I43" s="16" t="s">
        <v>132</v>
      </c>
    </row>
    <row r="44" spans="1:9" x14ac:dyDescent="0.3">
      <c r="A44" s="12" t="s">
        <v>2973</v>
      </c>
      <c r="B44" s="12" t="s">
        <v>578</v>
      </c>
      <c r="C44" s="12" t="s">
        <v>1205</v>
      </c>
      <c r="D44" s="12" t="s">
        <v>1591</v>
      </c>
      <c r="E44" s="13" t="s">
        <v>1589</v>
      </c>
      <c r="F44" s="13" t="s">
        <v>1418</v>
      </c>
      <c r="G44" s="16" t="s">
        <v>50</v>
      </c>
      <c r="H44" s="16" t="s">
        <v>630</v>
      </c>
      <c r="I44" s="16" t="s">
        <v>133</v>
      </c>
    </row>
    <row r="45" spans="1:9" x14ac:dyDescent="0.3">
      <c r="A45" s="12" t="s">
        <v>2974</v>
      </c>
      <c r="B45" s="12" t="s">
        <v>578</v>
      </c>
      <c r="C45" s="12" t="s">
        <v>1206</v>
      </c>
      <c r="D45" s="12" t="s">
        <v>1591</v>
      </c>
      <c r="E45" s="13" t="s">
        <v>1589</v>
      </c>
      <c r="F45" s="13" t="s">
        <v>1419</v>
      </c>
      <c r="G45" s="16" t="s">
        <v>51</v>
      </c>
      <c r="H45" s="16" t="s">
        <v>631</v>
      </c>
      <c r="I45" s="16" t="s">
        <v>134</v>
      </c>
    </row>
    <row r="46" spans="1:9" x14ac:dyDescent="0.3">
      <c r="A46" s="12" t="s">
        <v>2975</v>
      </c>
      <c r="B46" s="12" t="s">
        <v>578</v>
      </c>
      <c r="C46" s="12" t="s">
        <v>1207</v>
      </c>
      <c r="D46" s="12" t="s">
        <v>1591</v>
      </c>
      <c r="E46" s="13" t="s">
        <v>1589</v>
      </c>
      <c r="F46" s="13" t="s">
        <v>1420</v>
      </c>
      <c r="G46" s="16" t="s">
        <v>52</v>
      </c>
      <c r="H46" s="16" t="s">
        <v>632</v>
      </c>
      <c r="I46" s="16" t="s">
        <v>135</v>
      </c>
    </row>
    <row r="47" spans="1:9" x14ac:dyDescent="0.3">
      <c r="A47" s="12" t="s">
        <v>2976</v>
      </c>
      <c r="B47" s="12" t="s">
        <v>578</v>
      </c>
      <c r="C47" s="12" t="s">
        <v>1208</v>
      </c>
      <c r="D47" s="12" t="s">
        <v>1590</v>
      </c>
      <c r="E47" s="13" t="s">
        <v>1589</v>
      </c>
      <c r="F47" s="13" t="s">
        <v>1421</v>
      </c>
      <c r="G47" s="16" t="s">
        <v>53</v>
      </c>
      <c r="H47" s="16" t="s">
        <v>633</v>
      </c>
      <c r="I47" s="16" t="s">
        <v>136</v>
      </c>
    </row>
    <row r="48" spans="1:9" x14ac:dyDescent="0.3">
      <c r="A48" s="12" t="s">
        <v>2977</v>
      </c>
      <c r="B48" s="12" t="s">
        <v>578</v>
      </c>
      <c r="C48" s="12" t="s">
        <v>1209</v>
      </c>
      <c r="D48" s="12" t="s">
        <v>1590</v>
      </c>
      <c r="E48" s="13" t="s">
        <v>1597</v>
      </c>
      <c r="F48" s="13" t="s">
        <v>1422</v>
      </c>
      <c r="G48" s="16" t="s">
        <v>54</v>
      </c>
      <c r="H48" s="16" t="s">
        <v>634</v>
      </c>
      <c r="I48" s="16" t="s">
        <v>137</v>
      </c>
    </row>
    <row r="49" spans="1:9" x14ac:dyDescent="0.3">
      <c r="A49" s="12" t="s">
        <v>2978</v>
      </c>
      <c r="B49" s="12" t="s">
        <v>578</v>
      </c>
      <c r="C49" s="12" t="s">
        <v>1210</v>
      </c>
      <c r="D49" s="12" t="s">
        <v>1591</v>
      </c>
      <c r="E49" s="13" t="s">
        <v>1597</v>
      </c>
      <c r="F49" s="13" t="s">
        <v>1423</v>
      </c>
      <c r="G49" s="16" t="s">
        <v>55</v>
      </c>
      <c r="H49" s="16" t="s">
        <v>635</v>
      </c>
      <c r="I49" s="16" t="s">
        <v>138</v>
      </c>
    </row>
    <row r="50" spans="1:9" x14ac:dyDescent="0.3">
      <c r="A50" s="12" t="s">
        <v>2979</v>
      </c>
      <c r="B50" s="12" t="s">
        <v>578</v>
      </c>
      <c r="C50" s="12" t="s">
        <v>1211</v>
      </c>
      <c r="D50" s="12" t="s">
        <v>1591</v>
      </c>
      <c r="E50" s="13" t="s">
        <v>1589</v>
      </c>
      <c r="F50" s="13" t="s">
        <v>1396</v>
      </c>
      <c r="G50" s="16" t="s">
        <v>56</v>
      </c>
      <c r="H50" s="16" t="s">
        <v>636</v>
      </c>
      <c r="I50" s="16" t="s">
        <v>139</v>
      </c>
    </row>
    <row r="51" spans="1:9" x14ac:dyDescent="0.3">
      <c r="A51" s="12" t="s">
        <v>2980</v>
      </c>
      <c r="B51" s="12" t="s">
        <v>578</v>
      </c>
      <c r="C51" s="12" t="s">
        <v>1212</v>
      </c>
      <c r="D51" s="12" t="s">
        <v>1591</v>
      </c>
      <c r="E51" s="13" t="s">
        <v>1597</v>
      </c>
      <c r="F51" s="13" t="s">
        <v>1424</v>
      </c>
      <c r="G51" s="16" t="s">
        <v>57</v>
      </c>
      <c r="H51" s="16" t="s">
        <v>637</v>
      </c>
      <c r="I51" s="16" t="s">
        <v>140</v>
      </c>
    </row>
    <row r="52" spans="1:9" x14ac:dyDescent="0.3">
      <c r="A52" s="12" t="s">
        <v>2981</v>
      </c>
      <c r="B52" s="12" t="s">
        <v>578</v>
      </c>
      <c r="C52" s="12" t="s">
        <v>1212</v>
      </c>
      <c r="D52" s="12" t="s">
        <v>1591</v>
      </c>
      <c r="E52" s="13" t="s">
        <v>1597</v>
      </c>
      <c r="F52" s="13" t="s">
        <v>1425</v>
      </c>
      <c r="G52" s="16" t="s">
        <v>58</v>
      </c>
      <c r="H52" s="16" t="s">
        <v>638</v>
      </c>
      <c r="I52" s="16" t="s">
        <v>141</v>
      </c>
    </row>
    <row r="53" spans="1:9" x14ac:dyDescent="0.3">
      <c r="A53" s="12" t="s">
        <v>2982</v>
      </c>
      <c r="B53" s="12" t="s">
        <v>578</v>
      </c>
      <c r="C53" s="12" t="s">
        <v>1213</v>
      </c>
      <c r="D53" s="12" t="s">
        <v>1591</v>
      </c>
      <c r="E53" s="13" t="s">
        <v>1597</v>
      </c>
      <c r="F53" s="13" t="s">
        <v>1426</v>
      </c>
      <c r="G53" s="16" t="s">
        <v>59</v>
      </c>
      <c r="H53" s="16" t="s">
        <v>639</v>
      </c>
      <c r="I53" s="16" t="s">
        <v>142</v>
      </c>
    </row>
    <row r="54" spans="1:9" x14ac:dyDescent="0.3">
      <c r="A54" s="12" t="s">
        <v>2983</v>
      </c>
      <c r="B54" s="12" t="s">
        <v>578</v>
      </c>
      <c r="C54" s="12" t="s">
        <v>1214</v>
      </c>
      <c r="D54" s="12" t="s">
        <v>1177</v>
      </c>
      <c r="E54" s="13" t="s">
        <v>1597</v>
      </c>
      <c r="F54" s="13" t="s">
        <v>1427</v>
      </c>
      <c r="G54" s="16" t="s">
        <v>60</v>
      </c>
      <c r="H54" s="16" t="s">
        <v>640</v>
      </c>
      <c r="I54" s="16" t="s">
        <v>143</v>
      </c>
    </row>
    <row r="55" spans="1:9" x14ac:dyDescent="0.3">
      <c r="A55" s="12" t="s">
        <v>2984</v>
      </c>
      <c r="B55" s="12" t="s">
        <v>578</v>
      </c>
      <c r="C55" s="12" t="s">
        <v>1215</v>
      </c>
      <c r="D55" s="12" t="s">
        <v>1591</v>
      </c>
      <c r="E55" s="13" t="s">
        <v>1597</v>
      </c>
      <c r="F55" s="13" t="s">
        <v>1428</v>
      </c>
      <c r="G55" s="16" t="s">
        <v>61</v>
      </c>
      <c r="H55" s="16" t="s">
        <v>641</v>
      </c>
      <c r="I55" s="16" t="s">
        <v>144</v>
      </c>
    </row>
    <row r="56" spans="1:9" x14ac:dyDescent="0.3">
      <c r="A56" s="12" t="s">
        <v>2985</v>
      </c>
      <c r="B56" s="12" t="s">
        <v>578</v>
      </c>
      <c r="C56" s="12" t="s">
        <v>1215</v>
      </c>
      <c r="D56" s="12" t="s">
        <v>1591</v>
      </c>
      <c r="E56" s="13" t="s">
        <v>1589</v>
      </c>
      <c r="F56" s="13" t="s">
        <v>1429</v>
      </c>
      <c r="G56" s="16" t="s">
        <v>62</v>
      </c>
      <c r="H56" s="16" t="s">
        <v>642</v>
      </c>
      <c r="I56" s="16" t="s">
        <v>145</v>
      </c>
    </row>
    <row r="57" spans="1:9" x14ac:dyDescent="0.3">
      <c r="A57" s="12" t="s">
        <v>2986</v>
      </c>
      <c r="B57" s="12" t="s">
        <v>578</v>
      </c>
      <c r="C57" s="12" t="s">
        <v>1216</v>
      </c>
      <c r="D57" s="12" t="s">
        <v>1590</v>
      </c>
      <c r="E57" s="13" t="s">
        <v>1589</v>
      </c>
      <c r="F57" s="13" t="s">
        <v>1430</v>
      </c>
      <c r="G57" s="16" t="s">
        <v>63</v>
      </c>
      <c r="H57" s="16" t="s">
        <v>643</v>
      </c>
      <c r="I57" s="16" t="s">
        <v>146</v>
      </c>
    </row>
    <row r="58" spans="1:9" x14ac:dyDescent="0.3">
      <c r="A58" s="12" t="s">
        <v>2987</v>
      </c>
      <c r="B58" s="12" t="s">
        <v>578</v>
      </c>
      <c r="C58" s="12" t="s">
        <v>1217</v>
      </c>
      <c r="D58" s="12" t="s">
        <v>1591</v>
      </c>
      <c r="E58" s="13" t="s">
        <v>1589</v>
      </c>
      <c r="F58" s="13" t="s">
        <v>1431</v>
      </c>
      <c r="G58" s="16" t="s">
        <v>64</v>
      </c>
      <c r="H58" s="16" t="s">
        <v>644</v>
      </c>
      <c r="I58" s="16" t="s">
        <v>147</v>
      </c>
    </row>
    <row r="59" spans="1:9" x14ac:dyDescent="0.3">
      <c r="A59" s="12" t="s">
        <v>2988</v>
      </c>
      <c r="B59" s="12" t="s">
        <v>578</v>
      </c>
      <c r="C59" s="12" t="s">
        <v>1218</v>
      </c>
      <c r="D59" s="12" t="s">
        <v>1591</v>
      </c>
      <c r="E59" s="13" t="s">
        <v>1589</v>
      </c>
      <c r="F59" s="13" t="s">
        <v>1432</v>
      </c>
      <c r="G59" s="16" t="s">
        <v>65</v>
      </c>
      <c r="H59" s="16" t="s">
        <v>645</v>
      </c>
      <c r="I59" s="16" t="s">
        <v>148</v>
      </c>
    </row>
    <row r="60" spans="1:9" x14ac:dyDescent="0.3">
      <c r="A60" s="12" t="s">
        <v>2989</v>
      </c>
      <c r="B60" s="12" t="s">
        <v>578</v>
      </c>
      <c r="C60" s="12" t="s">
        <v>1219</v>
      </c>
      <c r="D60" s="12" t="s">
        <v>1590</v>
      </c>
      <c r="E60" s="13" t="s">
        <v>1589</v>
      </c>
      <c r="F60" s="13" t="s">
        <v>1433</v>
      </c>
      <c r="G60" s="16" t="s">
        <v>66</v>
      </c>
      <c r="H60" s="16" t="s">
        <v>646</v>
      </c>
      <c r="I60" s="16" t="s">
        <v>149</v>
      </c>
    </row>
    <row r="61" spans="1:9" x14ac:dyDescent="0.3">
      <c r="A61" s="12" t="s">
        <v>2990</v>
      </c>
      <c r="B61" s="12" t="s">
        <v>578</v>
      </c>
      <c r="C61" s="12" t="s">
        <v>1220</v>
      </c>
      <c r="D61" s="12" t="s">
        <v>1177</v>
      </c>
      <c r="E61" s="13" t="s">
        <v>1597</v>
      </c>
      <c r="F61" s="13" t="s">
        <v>1434</v>
      </c>
      <c r="G61" s="16" t="s">
        <v>67</v>
      </c>
      <c r="H61" s="16" t="s">
        <v>647</v>
      </c>
      <c r="I61" s="16" t="s">
        <v>150</v>
      </c>
    </row>
    <row r="62" spans="1:9" x14ac:dyDescent="0.3">
      <c r="A62" s="12" t="s">
        <v>2991</v>
      </c>
      <c r="B62" s="12" t="s">
        <v>578</v>
      </c>
      <c r="C62" s="12" t="s">
        <v>1221</v>
      </c>
      <c r="D62" s="12" t="s">
        <v>1591</v>
      </c>
      <c r="E62" s="13" t="s">
        <v>1589</v>
      </c>
      <c r="F62" s="13" t="s">
        <v>1435</v>
      </c>
      <c r="G62" s="16" t="s">
        <v>435</v>
      </c>
      <c r="H62" s="16" t="s">
        <v>1141</v>
      </c>
      <c r="I62" s="16" t="s">
        <v>452</v>
      </c>
    </row>
    <row r="63" spans="1:9" x14ac:dyDescent="0.3">
      <c r="A63" s="12" t="s">
        <v>2992</v>
      </c>
      <c r="B63" s="12" t="s">
        <v>578</v>
      </c>
      <c r="C63" s="12" t="s">
        <v>1222</v>
      </c>
      <c r="D63" s="12" t="s">
        <v>1591</v>
      </c>
      <c r="E63" s="13" t="s">
        <v>1597</v>
      </c>
      <c r="F63" s="13" t="s">
        <v>1436</v>
      </c>
      <c r="G63" s="16" t="s">
        <v>68</v>
      </c>
      <c r="H63" s="16" t="s">
        <v>648</v>
      </c>
      <c r="I63" s="16" t="s">
        <v>151</v>
      </c>
    </row>
    <row r="64" spans="1:9" x14ac:dyDescent="0.3">
      <c r="A64" s="12" t="s">
        <v>2993</v>
      </c>
      <c r="B64" s="12" t="s">
        <v>578</v>
      </c>
      <c r="C64" s="12" t="s">
        <v>1222</v>
      </c>
      <c r="D64" s="12" t="s">
        <v>1591</v>
      </c>
      <c r="E64" s="13" t="s">
        <v>1597</v>
      </c>
      <c r="F64" s="13" t="s">
        <v>1437</v>
      </c>
      <c r="G64" s="16" t="s">
        <v>69</v>
      </c>
      <c r="H64" s="16" t="s">
        <v>649</v>
      </c>
      <c r="I64" s="16" t="s">
        <v>152</v>
      </c>
    </row>
    <row r="65" spans="1:9" x14ac:dyDescent="0.3">
      <c r="A65" s="12" t="s">
        <v>2994</v>
      </c>
      <c r="B65" s="12" t="s">
        <v>578</v>
      </c>
      <c r="C65" s="12" t="s">
        <v>1223</v>
      </c>
      <c r="D65" s="12" t="s">
        <v>1591</v>
      </c>
      <c r="E65" s="13" t="s">
        <v>1596</v>
      </c>
      <c r="F65" s="13" t="s">
        <v>1402</v>
      </c>
      <c r="G65" s="16" t="s">
        <v>70</v>
      </c>
      <c r="H65" s="16" t="s">
        <v>650</v>
      </c>
      <c r="I65" s="16" t="s">
        <v>153</v>
      </c>
    </row>
    <row r="66" spans="1:9" x14ac:dyDescent="0.3">
      <c r="A66" s="12" t="s">
        <v>2995</v>
      </c>
      <c r="B66" s="12" t="s">
        <v>578</v>
      </c>
      <c r="C66" s="12" t="s">
        <v>1224</v>
      </c>
      <c r="D66" s="12" t="s">
        <v>1177</v>
      </c>
      <c r="E66" s="13" t="s">
        <v>1597</v>
      </c>
      <c r="F66" s="13" t="s">
        <v>1438</v>
      </c>
      <c r="G66" s="16" t="s">
        <v>71</v>
      </c>
      <c r="H66" s="16" t="s">
        <v>651</v>
      </c>
      <c r="I66" s="16" t="s">
        <v>154</v>
      </c>
    </row>
    <row r="67" spans="1:9" x14ac:dyDescent="0.3">
      <c r="A67" s="12" t="s">
        <v>2996</v>
      </c>
      <c r="B67" s="12" t="s">
        <v>578</v>
      </c>
      <c r="C67" s="12" t="s">
        <v>1225</v>
      </c>
      <c r="D67" s="12" t="s">
        <v>1591</v>
      </c>
      <c r="E67" s="13" t="s">
        <v>1597</v>
      </c>
      <c r="F67" s="13" t="s">
        <v>1439</v>
      </c>
      <c r="G67" s="16" t="s">
        <v>72</v>
      </c>
      <c r="H67" s="16" t="s">
        <v>652</v>
      </c>
      <c r="I67" s="16" t="s">
        <v>155</v>
      </c>
    </row>
    <row r="68" spans="1:9" x14ac:dyDescent="0.3">
      <c r="A68" s="12" t="s">
        <v>2997</v>
      </c>
      <c r="B68" s="12" t="s">
        <v>578</v>
      </c>
      <c r="C68" s="12" t="s">
        <v>1226</v>
      </c>
      <c r="D68" s="12" t="s">
        <v>1591</v>
      </c>
      <c r="E68" s="13" t="s">
        <v>1589</v>
      </c>
      <c r="F68" s="13" t="s">
        <v>1440</v>
      </c>
      <c r="G68" s="16" t="s">
        <v>73</v>
      </c>
      <c r="H68" s="16" t="s">
        <v>653</v>
      </c>
      <c r="I68" s="16" t="s">
        <v>156</v>
      </c>
    </row>
    <row r="69" spans="1:9" x14ac:dyDescent="0.3">
      <c r="A69" s="12" t="s">
        <v>2998</v>
      </c>
      <c r="B69" s="12" t="s">
        <v>578</v>
      </c>
      <c r="C69" s="12" t="s">
        <v>1227</v>
      </c>
      <c r="D69" s="12" t="s">
        <v>1591</v>
      </c>
      <c r="E69" s="13" t="s">
        <v>1597</v>
      </c>
      <c r="F69" s="13" t="s">
        <v>1441</v>
      </c>
      <c r="G69" s="16" t="s">
        <v>74</v>
      </c>
      <c r="H69" s="16" t="s">
        <v>654</v>
      </c>
      <c r="I69" s="16" t="s">
        <v>157</v>
      </c>
    </row>
    <row r="70" spans="1:9" x14ac:dyDescent="0.3">
      <c r="A70" s="12" t="s">
        <v>2999</v>
      </c>
      <c r="B70" s="12" t="s">
        <v>578</v>
      </c>
      <c r="C70" s="12" t="s">
        <v>1228</v>
      </c>
      <c r="D70" s="12" t="s">
        <v>1591</v>
      </c>
      <c r="E70" s="13" t="s">
        <v>1589</v>
      </c>
      <c r="F70" s="13" t="s">
        <v>1442</v>
      </c>
      <c r="G70" s="16" t="s">
        <v>75</v>
      </c>
      <c r="H70" s="16" t="s">
        <v>655</v>
      </c>
      <c r="I70" s="16" t="s">
        <v>158</v>
      </c>
    </row>
    <row r="71" spans="1:9" x14ac:dyDescent="0.3">
      <c r="A71" s="12" t="s">
        <v>3000</v>
      </c>
      <c r="B71" s="12" t="s">
        <v>578</v>
      </c>
      <c r="C71" s="12" t="s">
        <v>1229</v>
      </c>
      <c r="D71" s="12" t="s">
        <v>1591</v>
      </c>
      <c r="E71" s="13" t="s">
        <v>1589</v>
      </c>
      <c r="F71" s="13" t="s">
        <v>1443</v>
      </c>
      <c r="G71" s="16" t="s">
        <v>76</v>
      </c>
      <c r="H71" s="16" t="s">
        <v>656</v>
      </c>
      <c r="I71" s="16" t="s">
        <v>159</v>
      </c>
    </row>
    <row r="72" spans="1:9" x14ac:dyDescent="0.3">
      <c r="A72" s="12" t="s">
        <v>3001</v>
      </c>
      <c r="B72" s="12" t="s">
        <v>578</v>
      </c>
      <c r="C72" s="12" t="s">
        <v>1229</v>
      </c>
      <c r="D72" s="12" t="s">
        <v>1591</v>
      </c>
      <c r="E72" s="13" t="s">
        <v>1589</v>
      </c>
      <c r="F72" s="13" t="s">
        <v>1444</v>
      </c>
      <c r="G72" s="16" t="s">
        <v>77</v>
      </c>
      <c r="H72" s="16" t="s">
        <v>657</v>
      </c>
      <c r="I72" s="16" t="s">
        <v>160</v>
      </c>
    </row>
    <row r="73" spans="1:9" x14ac:dyDescent="0.3">
      <c r="A73" s="12" t="s">
        <v>3002</v>
      </c>
      <c r="B73" s="12" t="s">
        <v>578</v>
      </c>
      <c r="C73" s="12" t="s">
        <v>1229</v>
      </c>
      <c r="D73" s="12" t="s">
        <v>1591</v>
      </c>
      <c r="E73" s="13" t="s">
        <v>1589</v>
      </c>
      <c r="F73" s="13" t="s">
        <v>1445</v>
      </c>
      <c r="G73" s="16" t="s">
        <v>78</v>
      </c>
      <c r="H73" s="16" t="s">
        <v>658</v>
      </c>
      <c r="I73" s="16" t="s">
        <v>161</v>
      </c>
    </row>
    <row r="74" spans="1:9" x14ac:dyDescent="0.3">
      <c r="A74" s="12" t="s">
        <v>3003</v>
      </c>
      <c r="B74" s="12" t="s">
        <v>578</v>
      </c>
      <c r="C74" s="12" t="s">
        <v>1230</v>
      </c>
      <c r="D74" s="12" t="s">
        <v>1590</v>
      </c>
      <c r="E74" s="13" t="s">
        <v>1589</v>
      </c>
      <c r="F74" s="13" t="s">
        <v>1446</v>
      </c>
      <c r="G74" s="16" t="s">
        <v>79</v>
      </c>
      <c r="H74" s="16" t="s">
        <v>659</v>
      </c>
      <c r="I74" s="16" t="s">
        <v>162</v>
      </c>
    </row>
    <row r="75" spans="1:9" x14ac:dyDescent="0.3">
      <c r="A75" s="12" t="s">
        <v>3004</v>
      </c>
      <c r="B75" s="12" t="s">
        <v>578</v>
      </c>
      <c r="C75" s="12" t="s">
        <v>1231</v>
      </c>
      <c r="D75" s="12" t="s">
        <v>1591</v>
      </c>
      <c r="E75" s="13" t="s">
        <v>1589</v>
      </c>
      <c r="F75" s="13" t="s">
        <v>1447</v>
      </c>
      <c r="G75" s="16" t="s">
        <v>80</v>
      </c>
      <c r="H75" s="16" t="s">
        <v>660</v>
      </c>
      <c r="I75" s="16" t="s">
        <v>163</v>
      </c>
    </row>
    <row r="76" spans="1:9" x14ac:dyDescent="0.3">
      <c r="A76" s="12" t="s">
        <v>3005</v>
      </c>
      <c r="B76" s="12" t="s">
        <v>578</v>
      </c>
      <c r="C76" s="12" t="s">
        <v>1232</v>
      </c>
      <c r="D76" s="12" t="s">
        <v>1591</v>
      </c>
      <c r="E76" s="13" t="s">
        <v>1589</v>
      </c>
      <c r="F76" s="13" t="s">
        <v>1448</v>
      </c>
      <c r="G76" s="16" t="s">
        <v>436</v>
      </c>
      <c r="H76" s="16" t="s">
        <v>1142</v>
      </c>
      <c r="I76" s="16" t="s">
        <v>454</v>
      </c>
    </row>
    <row r="77" spans="1:9" x14ac:dyDescent="0.3">
      <c r="A77" s="12" t="s">
        <v>3006</v>
      </c>
      <c r="B77" s="12" t="s">
        <v>578</v>
      </c>
      <c r="C77" s="12" t="s">
        <v>1233</v>
      </c>
      <c r="D77" s="12" t="s">
        <v>1177</v>
      </c>
      <c r="E77" s="13" t="s">
        <v>1596</v>
      </c>
      <c r="F77" s="13" t="s">
        <v>1449</v>
      </c>
      <c r="G77" s="16" t="s">
        <v>81</v>
      </c>
      <c r="H77" s="16" t="s">
        <v>661</v>
      </c>
      <c r="I77" s="16" t="s">
        <v>165</v>
      </c>
    </row>
    <row r="78" spans="1:9" x14ac:dyDescent="0.3">
      <c r="A78" s="12" t="s">
        <v>3007</v>
      </c>
      <c r="B78" s="12" t="s">
        <v>578</v>
      </c>
      <c r="C78" s="12" t="s">
        <v>1234</v>
      </c>
      <c r="D78" s="12" t="s">
        <v>1590</v>
      </c>
      <c r="E78" s="13" t="s">
        <v>1597</v>
      </c>
      <c r="F78" s="13" t="s">
        <v>1450</v>
      </c>
      <c r="G78" s="16" t="s">
        <v>82</v>
      </c>
      <c r="H78" s="16" t="s">
        <v>663</v>
      </c>
      <c r="I78" s="16" t="s">
        <v>166</v>
      </c>
    </row>
    <row r="79" spans="1:9" x14ac:dyDescent="0.3">
      <c r="A79" s="12" t="s">
        <v>3008</v>
      </c>
      <c r="B79" s="12" t="s">
        <v>578</v>
      </c>
      <c r="C79" s="12" t="s">
        <v>1235</v>
      </c>
      <c r="D79" s="12" t="s">
        <v>1591</v>
      </c>
      <c r="E79" s="13" t="s">
        <v>1597</v>
      </c>
      <c r="F79" s="13" t="s">
        <v>1451</v>
      </c>
      <c r="G79" s="16" t="s">
        <v>83</v>
      </c>
      <c r="H79" s="16" t="s">
        <v>664</v>
      </c>
      <c r="I79" s="16" t="s">
        <v>167</v>
      </c>
    </row>
    <row r="80" spans="1:9" x14ac:dyDescent="0.3">
      <c r="A80" s="12" t="s">
        <v>3009</v>
      </c>
      <c r="B80" s="12" t="s">
        <v>578</v>
      </c>
      <c r="C80" s="12" t="s">
        <v>1236</v>
      </c>
      <c r="D80" s="12" t="s">
        <v>1590</v>
      </c>
      <c r="E80" s="13" t="s">
        <v>1597</v>
      </c>
      <c r="F80" s="13" t="s">
        <v>1452</v>
      </c>
      <c r="G80" s="16" t="s">
        <v>84</v>
      </c>
      <c r="H80" s="16" t="s">
        <v>665</v>
      </c>
      <c r="I80" s="16" t="s">
        <v>168</v>
      </c>
    </row>
    <row r="81" spans="1:9" x14ac:dyDescent="0.3">
      <c r="A81" s="12" t="s">
        <v>3010</v>
      </c>
      <c r="B81" s="12" t="s">
        <v>578</v>
      </c>
      <c r="C81" s="12" t="s">
        <v>1237</v>
      </c>
      <c r="D81" s="12" t="s">
        <v>1590</v>
      </c>
      <c r="E81" s="13" t="s">
        <v>1597</v>
      </c>
      <c r="F81" s="13" t="s">
        <v>1453</v>
      </c>
      <c r="G81" s="16" t="s">
        <v>85</v>
      </c>
      <c r="H81" s="16" t="s">
        <v>666</v>
      </c>
      <c r="I81" s="16" t="s">
        <v>169</v>
      </c>
    </row>
    <row r="82" spans="1:9" x14ac:dyDescent="0.3">
      <c r="A82" s="12" t="s">
        <v>3011</v>
      </c>
      <c r="B82" s="12" t="s">
        <v>578</v>
      </c>
      <c r="C82" s="12" t="s">
        <v>1238</v>
      </c>
      <c r="D82" s="12" t="s">
        <v>1591</v>
      </c>
      <c r="E82" s="13" t="s">
        <v>1589</v>
      </c>
      <c r="F82" s="13" t="s">
        <v>1454</v>
      </c>
      <c r="G82" s="16" t="s">
        <v>86</v>
      </c>
      <c r="H82" s="16" t="s">
        <v>667</v>
      </c>
      <c r="I82" s="16" t="s">
        <v>170</v>
      </c>
    </row>
    <row r="83" spans="1:9" x14ac:dyDescent="0.3">
      <c r="A83" s="12" t="s">
        <v>3012</v>
      </c>
      <c r="B83" s="12" t="s">
        <v>578</v>
      </c>
      <c r="C83" s="12" t="s">
        <v>1239</v>
      </c>
      <c r="D83" s="12" t="s">
        <v>1591</v>
      </c>
      <c r="E83" s="13" t="s">
        <v>1589</v>
      </c>
      <c r="F83" s="13" t="s">
        <v>1455</v>
      </c>
      <c r="G83" s="16" t="s">
        <v>87</v>
      </c>
      <c r="H83" s="16" t="s">
        <v>668</v>
      </c>
      <c r="I83" s="16" t="s">
        <v>171</v>
      </c>
    </row>
    <row r="84" spans="1:9" x14ac:dyDescent="0.3">
      <c r="A84" s="12" t="s">
        <v>3013</v>
      </c>
      <c r="B84" s="12" t="s">
        <v>578</v>
      </c>
      <c r="C84" s="12" t="s">
        <v>1240</v>
      </c>
      <c r="D84" s="12" t="s">
        <v>1590</v>
      </c>
      <c r="E84" s="13" t="s">
        <v>1597</v>
      </c>
      <c r="F84" s="13" t="s">
        <v>1456</v>
      </c>
      <c r="G84" s="16" t="s">
        <v>88</v>
      </c>
      <c r="H84" s="16" t="s">
        <v>669</v>
      </c>
      <c r="I84" s="16" t="s">
        <v>172</v>
      </c>
    </row>
    <row r="85" spans="1:9" x14ac:dyDescent="0.3">
      <c r="A85" s="12" t="s">
        <v>3014</v>
      </c>
      <c r="B85" s="12" t="s">
        <v>578</v>
      </c>
      <c r="C85" s="12" t="s">
        <v>1241</v>
      </c>
      <c r="D85" s="12" t="s">
        <v>1590</v>
      </c>
      <c r="E85" s="13" t="s">
        <v>1589</v>
      </c>
      <c r="F85" s="13" t="s">
        <v>1457</v>
      </c>
      <c r="G85" s="16" t="s">
        <v>89</v>
      </c>
      <c r="H85" s="16" t="s">
        <v>670</v>
      </c>
      <c r="I85" s="16" t="s">
        <v>173</v>
      </c>
    </row>
    <row r="86" spans="1:9" x14ac:dyDescent="0.3">
      <c r="A86" s="12" t="s">
        <v>3015</v>
      </c>
      <c r="B86" s="12" t="s">
        <v>578</v>
      </c>
      <c r="C86" s="12" t="s">
        <v>1242</v>
      </c>
      <c r="D86" s="12" t="s">
        <v>1591</v>
      </c>
      <c r="E86" s="13" t="s">
        <v>1589</v>
      </c>
      <c r="F86" s="13" t="s">
        <v>1458</v>
      </c>
      <c r="G86" s="16" t="s">
        <v>90</v>
      </c>
      <c r="H86" s="16" t="s">
        <v>671</v>
      </c>
      <c r="I86" s="16" t="s">
        <v>174</v>
      </c>
    </row>
    <row r="87" spans="1:9" x14ac:dyDescent="0.3">
      <c r="A87" s="12" t="s">
        <v>3016</v>
      </c>
      <c r="B87" s="12" t="s">
        <v>578</v>
      </c>
      <c r="C87" s="12" t="s">
        <v>1243</v>
      </c>
      <c r="D87" s="12" t="s">
        <v>1590</v>
      </c>
      <c r="E87" s="13" t="s">
        <v>1589</v>
      </c>
      <c r="F87" s="13" t="s">
        <v>1459</v>
      </c>
      <c r="G87" s="16" t="s">
        <v>91</v>
      </c>
      <c r="H87" s="16" t="s">
        <v>672</v>
      </c>
      <c r="I87" s="16" t="s">
        <v>175</v>
      </c>
    </row>
    <row r="88" spans="1:9" x14ac:dyDescent="0.3">
      <c r="A88" s="12" t="s">
        <v>3017</v>
      </c>
      <c r="B88" s="12" t="s">
        <v>578</v>
      </c>
      <c r="C88" s="12" t="s">
        <v>1244</v>
      </c>
      <c r="D88" s="12" t="s">
        <v>1591</v>
      </c>
      <c r="E88" s="13" t="s">
        <v>1589</v>
      </c>
      <c r="F88" s="13" t="s">
        <v>1460</v>
      </c>
      <c r="G88" s="16" t="s">
        <v>92</v>
      </c>
      <c r="H88" s="16" t="s">
        <v>673</v>
      </c>
      <c r="I88" s="16" t="s">
        <v>176</v>
      </c>
    </row>
    <row r="89" spans="1:9" x14ac:dyDescent="0.3">
      <c r="A89" s="12" t="s">
        <v>3018</v>
      </c>
      <c r="B89" s="12" t="s">
        <v>578</v>
      </c>
      <c r="C89" s="12" t="s">
        <v>1244</v>
      </c>
      <c r="D89" s="12" t="s">
        <v>1591</v>
      </c>
      <c r="E89" s="13" t="s">
        <v>1597</v>
      </c>
      <c r="F89" s="13" t="s">
        <v>1461</v>
      </c>
      <c r="G89" s="16" t="s">
        <v>93</v>
      </c>
      <c r="H89" s="16" t="s">
        <v>674</v>
      </c>
      <c r="I89" s="16" t="s">
        <v>177</v>
      </c>
    </row>
    <row r="90" spans="1:9" x14ac:dyDescent="0.3">
      <c r="A90" s="12" t="s">
        <v>3019</v>
      </c>
      <c r="B90" s="12" t="s">
        <v>578</v>
      </c>
      <c r="C90" s="12" t="s">
        <v>1245</v>
      </c>
      <c r="D90" s="12" t="s">
        <v>1165</v>
      </c>
      <c r="E90" s="13" t="s">
        <v>1589</v>
      </c>
      <c r="F90" s="13" t="s">
        <v>1462</v>
      </c>
      <c r="G90" s="16" t="s">
        <v>182</v>
      </c>
      <c r="H90" s="16" t="s">
        <v>675</v>
      </c>
      <c r="I90" s="16" t="s">
        <v>178</v>
      </c>
    </row>
    <row r="91" spans="1:9" x14ac:dyDescent="0.3">
      <c r="A91" s="12" t="s">
        <v>3020</v>
      </c>
      <c r="B91" s="12" t="s">
        <v>578</v>
      </c>
      <c r="C91" s="12" t="s">
        <v>1246</v>
      </c>
      <c r="D91" s="12" t="s">
        <v>1591</v>
      </c>
      <c r="E91" s="13" t="s">
        <v>1589</v>
      </c>
      <c r="F91" s="13" t="s">
        <v>1463</v>
      </c>
      <c r="G91" s="16" t="s">
        <v>183</v>
      </c>
      <c r="H91" s="16" t="s">
        <v>676</v>
      </c>
      <c r="I91" s="16" t="s">
        <v>179</v>
      </c>
    </row>
    <row r="92" spans="1:9" x14ac:dyDescent="0.3">
      <c r="A92" s="12" t="s">
        <v>3021</v>
      </c>
      <c r="B92" s="12" t="s">
        <v>578</v>
      </c>
      <c r="C92" s="12" t="s">
        <v>1247</v>
      </c>
      <c r="D92" s="12" t="s">
        <v>1590</v>
      </c>
      <c r="E92" s="13" t="s">
        <v>1597</v>
      </c>
      <c r="F92" s="13" t="s">
        <v>1464</v>
      </c>
      <c r="G92" s="16" t="s">
        <v>438</v>
      </c>
      <c r="H92" s="16" t="s">
        <v>1150</v>
      </c>
      <c r="I92" s="16" t="s">
        <v>439</v>
      </c>
    </row>
    <row r="93" spans="1:9" x14ac:dyDescent="0.3">
      <c r="A93" s="12" t="s">
        <v>3022</v>
      </c>
      <c r="B93" s="12" t="s">
        <v>578</v>
      </c>
      <c r="C93" s="12" t="s">
        <v>1248</v>
      </c>
      <c r="D93" s="12" t="s">
        <v>1165</v>
      </c>
      <c r="E93" s="13" t="s">
        <v>1597</v>
      </c>
      <c r="F93" s="13" t="s">
        <v>1465</v>
      </c>
      <c r="G93" s="16" t="s">
        <v>184</v>
      </c>
      <c r="H93" s="16" t="s">
        <v>678</v>
      </c>
      <c r="I93" s="16" t="s">
        <v>180</v>
      </c>
    </row>
    <row r="94" spans="1:9" x14ac:dyDescent="0.3">
      <c r="A94" s="12" t="s">
        <v>3023</v>
      </c>
      <c r="B94" s="12" t="s">
        <v>578</v>
      </c>
      <c r="C94" s="12" t="s">
        <v>1249</v>
      </c>
      <c r="D94" s="12" t="s">
        <v>1591</v>
      </c>
      <c r="E94" s="13" t="s">
        <v>1597</v>
      </c>
      <c r="F94" s="13" t="s">
        <v>1466</v>
      </c>
      <c r="G94" s="16" t="s">
        <v>185</v>
      </c>
      <c r="H94" s="16" t="s">
        <v>679</v>
      </c>
      <c r="I94" s="16" t="s">
        <v>181</v>
      </c>
    </row>
    <row r="95" spans="1:9" x14ac:dyDescent="0.3">
      <c r="A95" s="12" t="s">
        <v>3024</v>
      </c>
      <c r="B95" s="12" t="s">
        <v>578</v>
      </c>
      <c r="C95" s="12" t="s">
        <v>1250</v>
      </c>
      <c r="D95" s="12" t="s">
        <v>1177</v>
      </c>
      <c r="E95" s="13" t="s">
        <v>1597</v>
      </c>
      <c r="F95" s="13" t="s">
        <v>1467</v>
      </c>
      <c r="G95" s="16" t="s">
        <v>186</v>
      </c>
      <c r="H95" s="16" t="s">
        <v>682</v>
      </c>
      <c r="I95" s="16" t="s">
        <v>305</v>
      </c>
    </row>
    <row r="96" spans="1:9" x14ac:dyDescent="0.3">
      <c r="A96" s="12" t="s">
        <v>3025</v>
      </c>
      <c r="B96" s="12" t="s">
        <v>578</v>
      </c>
      <c r="C96" s="12" t="s">
        <v>1251</v>
      </c>
      <c r="D96" s="12" t="s">
        <v>1591</v>
      </c>
      <c r="E96" s="13" t="s">
        <v>1589</v>
      </c>
      <c r="F96" s="13" t="s">
        <v>1468</v>
      </c>
      <c r="G96" s="16" t="s">
        <v>187</v>
      </c>
      <c r="H96" s="16" t="s">
        <v>1143</v>
      </c>
      <c r="I96" s="16" t="s">
        <v>306</v>
      </c>
    </row>
    <row r="97" spans="1:9" x14ac:dyDescent="0.3">
      <c r="A97" s="12" t="s">
        <v>3026</v>
      </c>
      <c r="B97" s="12" t="s">
        <v>578</v>
      </c>
      <c r="C97" s="12" t="s">
        <v>1252</v>
      </c>
      <c r="D97" s="12" t="s">
        <v>1591</v>
      </c>
      <c r="E97" s="13" t="s">
        <v>1589</v>
      </c>
      <c r="F97" s="13" t="s">
        <v>1469</v>
      </c>
      <c r="G97" s="16" t="s">
        <v>188</v>
      </c>
      <c r="H97" s="16" t="s">
        <v>683</v>
      </c>
      <c r="I97" s="16" t="s">
        <v>307</v>
      </c>
    </row>
    <row r="98" spans="1:9" x14ac:dyDescent="0.3">
      <c r="A98" s="12" t="s">
        <v>3027</v>
      </c>
      <c r="B98" s="12" t="s">
        <v>578</v>
      </c>
      <c r="C98" s="12" t="s">
        <v>1253</v>
      </c>
      <c r="D98" s="12" t="s">
        <v>1591</v>
      </c>
      <c r="E98" s="13" t="s">
        <v>1597</v>
      </c>
      <c r="F98" s="13" t="s">
        <v>1470</v>
      </c>
      <c r="G98" s="16" t="s">
        <v>189</v>
      </c>
      <c r="H98" s="16" t="s">
        <v>684</v>
      </c>
      <c r="I98" s="16" t="s">
        <v>308</v>
      </c>
    </row>
    <row r="99" spans="1:9" x14ac:dyDescent="0.3">
      <c r="A99" s="12" t="s">
        <v>3028</v>
      </c>
      <c r="B99" s="12" t="s">
        <v>578</v>
      </c>
      <c r="C99" s="12" t="s">
        <v>1254</v>
      </c>
      <c r="D99" s="12" t="s">
        <v>1591</v>
      </c>
      <c r="E99" s="13" t="s">
        <v>1597</v>
      </c>
      <c r="F99" s="13" t="s">
        <v>1471</v>
      </c>
      <c r="G99" s="16" t="s">
        <v>190</v>
      </c>
      <c r="H99" s="16" t="s">
        <v>685</v>
      </c>
      <c r="I99" s="16" t="s">
        <v>309</v>
      </c>
    </row>
    <row r="100" spans="1:9" x14ac:dyDescent="0.3">
      <c r="A100" s="12" t="s">
        <v>3029</v>
      </c>
      <c r="B100" s="12" t="s">
        <v>578</v>
      </c>
      <c r="C100" s="12" t="s">
        <v>1255</v>
      </c>
      <c r="D100" s="12" t="s">
        <v>1590</v>
      </c>
      <c r="E100" s="13" t="s">
        <v>1589</v>
      </c>
      <c r="F100" s="13" t="s">
        <v>1472</v>
      </c>
      <c r="G100" s="16" t="s">
        <v>191</v>
      </c>
      <c r="H100" s="16" t="s">
        <v>686</v>
      </c>
      <c r="I100" s="16" t="s">
        <v>310</v>
      </c>
    </row>
    <row r="101" spans="1:9" x14ac:dyDescent="0.3">
      <c r="A101" s="12" t="s">
        <v>3030</v>
      </c>
      <c r="B101" s="12" t="s">
        <v>578</v>
      </c>
      <c r="C101" s="12" t="s">
        <v>1256</v>
      </c>
      <c r="D101" s="12" t="s">
        <v>1591</v>
      </c>
      <c r="E101" s="13" t="s">
        <v>1589</v>
      </c>
      <c r="F101" s="13" t="s">
        <v>1473</v>
      </c>
      <c r="G101" s="16" t="s">
        <v>192</v>
      </c>
      <c r="H101" s="16" t="s">
        <v>687</v>
      </c>
      <c r="I101" s="16" t="s">
        <v>311</v>
      </c>
    </row>
    <row r="102" spans="1:9" x14ac:dyDescent="0.3">
      <c r="A102" s="12" t="s">
        <v>3031</v>
      </c>
      <c r="B102" s="12" t="s">
        <v>578</v>
      </c>
      <c r="C102" s="12" t="s">
        <v>1257</v>
      </c>
      <c r="D102" s="12" t="s">
        <v>1591</v>
      </c>
      <c r="E102" s="13" t="s">
        <v>1589</v>
      </c>
      <c r="F102" s="13" t="s">
        <v>1474</v>
      </c>
      <c r="G102" s="16" t="s">
        <v>193</v>
      </c>
      <c r="H102" s="16" t="s">
        <v>1144</v>
      </c>
      <c r="I102" s="16" t="s">
        <v>312</v>
      </c>
    </row>
    <row r="103" spans="1:9" x14ac:dyDescent="0.3">
      <c r="A103" s="12" t="s">
        <v>3032</v>
      </c>
      <c r="B103" s="12" t="s">
        <v>578</v>
      </c>
      <c r="C103" s="12" t="s">
        <v>1258</v>
      </c>
      <c r="D103" s="12" t="s">
        <v>1590</v>
      </c>
      <c r="E103" s="13" t="s">
        <v>1589</v>
      </c>
      <c r="F103" s="13" t="s">
        <v>1453</v>
      </c>
      <c r="G103" s="16" t="s">
        <v>194</v>
      </c>
      <c r="H103" s="16" t="s">
        <v>688</v>
      </c>
      <c r="I103" s="16" t="s">
        <v>313</v>
      </c>
    </row>
    <row r="104" spans="1:9" x14ac:dyDescent="0.3">
      <c r="A104" s="12" t="s">
        <v>3033</v>
      </c>
      <c r="B104" s="12" t="s">
        <v>578</v>
      </c>
      <c r="C104" s="12" t="s">
        <v>1259</v>
      </c>
      <c r="D104" s="12" t="s">
        <v>1591</v>
      </c>
      <c r="E104" s="13" t="s">
        <v>1596</v>
      </c>
      <c r="F104" s="13" t="s">
        <v>1402</v>
      </c>
      <c r="G104" s="16" t="s">
        <v>195</v>
      </c>
      <c r="H104" s="16" t="s">
        <v>689</v>
      </c>
      <c r="I104" s="16" t="s">
        <v>314</v>
      </c>
    </row>
    <row r="105" spans="1:9" x14ac:dyDescent="0.3">
      <c r="A105" s="12" t="s">
        <v>3034</v>
      </c>
      <c r="B105" s="12" t="s">
        <v>578</v>
      </c>
      <c r="C105" s="12" t="s">
        <v>1260</v>
      </c>
      <c r="D105" s="12" t="s">
        <v>1591</v>
      </c>
      <c r="E105" s="13" t="s">
        <v>1597</v>
      </c>
      <c r="F105" s="13" t="s">
        <v>1475</v>
      </c>
      <c r="G105" s="16" t="s">
        <v>196</v>
      </c>
      <c r="H105" s="16" t="s">
        <v>690</v>
      </c>
      <c r="I105" s="16" t="s">
        <v>315</v>
      </c>
    </row>
    <row r="106" spans="1:9" x14ac:dyDescent="0.3">
      <c r="A106" s="12" t="s">
        <v>3035</v>
      </c>
      <c r="B106" s="12" t="s">
        <v>578</v>
      </c>
      <c r="C106" s="12" t="s">
        <v>1261</v>
      </c>
      <c r="D106" s="12" t="s">
        <v>1591</v>
      </c>
      <c r="E106" s="13" t="s">
        <v>1589</v>
      </c>
      <c r="F106" s="13" t="s">
        <v>1476</v>
      </c>
      <c r="G106" s="16" t="s">
        <v>197</v>
      </c>
      <c r="H106" s="16" t="s">
        <v>691</v>
      </c>
      <c r="I106" s="16" t="s">
        <v>316</v>
      </c>
    </row>
    <row r="107" spans="1:9" x14ac:dyDescent="0.3">
      <c r="A107" s="12" t="s">
        <v>3036</v>
      </c>
      <c r="B107" s="12" t="s">
        <v>578</v>
      </c>
      <c r="C107" s="12" t="s">
        <v>1262</v>
      </c>
      <c r="D107" s="12" t="s">
        <v>1177</v>
      </c>
      <c r="E107" s="13" t="s">
        <v>1589</v>
      </c>
      <c r="F107" s="13" t="s">
        <v>1445</v>
      </c>
      <c r="G107" s="16" t="s">
        <v>198</v>
      </c>
      <c r="H107" s="16" t="s">
        <v>692</v>
      </c>
      <c r="I107" s="16" t="s">
        <v>317</v>
      </c>
    </row>
    <row r="108" spans="1:9" x14ac:dyDescent="0.3">
      <c r="A108" s="12" t="s">
        <v>3037</v>
      </c>
      <c r="B108" s="12" t="s">
        <v>578</v>
      </c>
      <c r="C108" s="12" t="s">
        <v>1263</v>
      </c>
      <c r="D108" s="12" t="s">
        <v>1591</v>
      </c>
      <c r="E108" s="13" t="s">
        <v>1589</v>
      </c>
      <c r="F108" s="13" t="s">
        <v>1477</v>
      </c>
      <c r="G108" s="16" t="s">
        <v>199</v>
      </c>
      <c r="H108" s="16" t="s">
        <v>693</v>
      </c>
      <c r="I108" s="16" t="s">
        <v>318</v>
      </c>
    </row>
    <row r="109" spans="1:9" x14ac:dyDescent="0.3">
      <c r="A109" s="12" t="s">
        <v>3038</v>
      </c>
      <c r="B109" s="12" t="s">
        <v>578</v>
      </c>
      <c r="C109" s="12" t="s">
        <v>1264</v>
      </c>
      <c r="D109" s="12" t="s">
        <v>1591</v>
      </c>
      <c r="E109" s="13" t="s">
        <v>1589</v>
      </c>
      <c r="F109" s="13" t="s">
        <v>1478</v>
      </c>
      <c r="G109" s="16" t="s">
        <v>200</v>
      </c>
      <c r="H109" s="16" t="s">
        <v>694</v>
      </c>
      <c r="I109" s="16" t="s">
        <v>319</v>
      </c>
    </row>
    <row r="110" spans="1:9" x14ac:dyDescent="0.3">
      <c r="A110" s="12" t="s">
        <v>3039</v>
      </c>
      <c r="B110" s="12" t="s">
        <v>578</v>
      </c>
      <c r="C110" s="12" t="s">
        <v>1265</v>
      </c>
      <c r="D110" s="12" t="s">
        <v>1177</v>
      </c>
      <c r="E110" s="13" t="s">
        <v>1597</v>
      </c>
      <c r="F110" s="13" t="s">
        <v>1479</v>
      </c>
      <c r="G110" s="16" t="s">
        <v>201</v>
      </c>
      <c r="H110" s="16" t="s">
        <v>695</v>
      </c>
      <c r="I110" s="16" t="s">
        <v>320</v>
      </c>
    </row>
    <row r="111" spans="1:9" x14ac:dyDescent="0.3">
      <c r="A111" s="12" t="s">
        <v>3040</v>
      </c>
      <c r="B111" s="12" t="s">
        <v>578</v>
      </c>
      <c r="C111" s="12" t="s">
        <v>1266</v>
      </c>
      <c r="D111" s="12" t="s">
        <v>1590</v>
      </c>
      <c r="E111" s="13" t="s">
        <v>1589</v>
      </c>
      <c r="F111" s="13" t="s">
        <v>1480</v>
      </c>
      <c r="G111" s="16" t="s">
        <v>202</v>
      </c>
      <c r="H111" s="16" t="s">
        <v>696</v>
      </c>
      <c r="I111" s="16" t="s">
        <v>321</v>
      </c>
    </row>
    <row r="112" spans="1:9" x14ac:dyDescent="0.3">
      <c r="A112" s="12" t="s">
        <v>3041</v>
      </c>
      <c r="B112" s="12" t="s">
        <v>578</v>
      </c>
      <c r="C112" s="12" t="s">
        <v>1267</v>
      </c>
      <c r="D112" s="12" t="s">
        <v>1590</v>
      </c>
      <c r="E112" s="13" t="s">
        <v>1589</v>
      </c>
      <c r="F112" s="13" t="s">
        <v>1445</v>
      </c>
      <c r="G112" s="16" t="s">
        <v>442</v>
      </c>
      <c r="H112" s="16" t="s">
        <v>1152</v>
      </c>
      <c r="I112" s="16" t="s">
        <v>443</v>
      </c>
    </row>
    <row r="113" spans="1:9" x14ac:dyDescent="0.3">
      <c r="A113" s="12" t="s">
        <v>3042</v>
      </c>
      <c r="B113" s="12" t="s">
        <v>578</v>
      </c>
      <c r="C113" s="12" t="s">
        <v>1268</v>
      </c>
      <c r="D113" s="12" t="s">
        <v>1591</v>
      </c>
      <c r="E113" s="13" t="s">
        <v>1589</v>
      </c>
      <c r="F113" s="13" t="s">
        <v>1428</v>
      </c>
      <c r="G113" s="16" t="s">
        <v>203</v>
      </c>
      <c r="H113" s="16" t="s">
        <v>697</v>
      </c>
      <c r="I113" s="16" t="s">
        <v>322</v>
      </c>
    </row>
    <row r="114" spans="1:9" x14ac:dyDescent="0.3">
      <c r="A114" s="12" t="s">
        <v>3043</v>
      </c>
      <c r="B114" s="12" t="s">
        <v>578</v>
      </c>
      <c r="C114" s="12" t="s">
        <v>1269</v>
      </c>
      <c r="D114" s="12" t="s">
        <v>1590</v>
      </c>
      <c r="E114" s="13" t="s">
        <v>1589</v>
      </c>
      <c r="F114" s="13" t="s">
        <v>1481</v>
      </c>
      <c r="G114" s="16" t="s">
        <v>204</v>
      </c>
      <c r="H114" s="16" t="s">
        <v>698</v>
      </c>
      <c r="I114" s="16" t="s">
        <v>323</v>
      </c>
    </row>
    <row r="115" spans="1:9" x14ac:dyDescent="0.3">
      <c r="A115" s="12" t="s">
        <v>3044</v>
      </c>
      <c r="B115" s="12" t="s">
        <v>578</v>
      </c>
      <c r="C115" s="12" t="s">
        <v>1270</v>
      </c>
      <c r="D115" s="12" t="s">
        <v>1590</v>
      </c>
      <c r="E115" s="13" t="s">
        <v>1589</v>
      </c>
      <c r="F115" s="13" t="s">
        <v>1482</v>
      </c>
      <c r="G115" s="16" t="s">
        <v>205</v>
      </c>
      <c r="H115" s="16" t="s">
        <v>699</v>
      </c>
      <c r="I115" s="16" t="s">
        <v>324</v>
      </c>
    </row>
    <row r="116" spans="1:9" x14ac:dyDescent="0.3">
      <c r="A116" s="12" t="s">
        <v>3045</v>
      </c>
      <c r="B116" s="12" t="s">
        <v>578</v>
      </c>
      <c r="C116" s="12" t="s">
        <v>1271</v>
      </c>
      <c r="D116" s="12" t="s">
        <v>1591</v>
      </c>
      <c r="E116" s="13" t="s">
        <v>1589</v>
      </c>
      <c r="F116" s="13" t="s">
        <v>1483</v>
      </c>
      <c r="G116" s="16" t="s">
        <v>206</v>
      </c>
      <c r="H116" s="16" t="s">
        <v>700</v>
      </c>
      <c r="I116" s="16" t="s">
        <v>325</v>
      </c>
    </row>
    <row r="117" spans="1:9" x14ac:dyDescent="0.3">
      <c r="A117" s="12" t="s">
        <v>3046</v>
      </c>
      <c r="B117" s="12" t="s">
        <v>578</v>
      </c>
      <c r="C117" s="12" t="s">
        <v>1271</v>
      </c>
      <c r="D117" s="12" t="s">
        <v>1591</v>
      </c>
      <c r="E117" s="13" t="s">
        <v>1589</v>
      </c>
      <c r="F117" s="13" t="s">
        <v>1484</v>
      </c>
      <c r="G117" s="16" t="s">
        <v>207</v>
      </c>
      <c r="H117" s="16" t="s">
        <v>701</v>
      </c>
      <c r="I117" s="16" t="s">
        <v>326</v>
      </c>
    </row>
    <row r="118" spans="1:9" x14ac:dyDescent="0.3">
      <c r="A118" s="12" t="s">
        <v>3047</v>
      </c>
      <c r="B118" s="12" t="s">
        <v>578</v>
      </c>
      <c r="C118" s="12" t="s">
        <v>1272</v>
      </c>
      <c r="D118" s="12" t="s">
        <v>1590</v>
      </c>
      <c r="E118" s="13" t="s">
        <v>1589</v>
      </c>
      <c r="F118" s="13" t="s">
        <v>1485</v>
      </c>
      <c r="G118" s="16" t="s">
        <v>208</v>
      </c>
      <c r="H118" s="16" t="s">
        <v>702</v>
      </c>
      <c r="I118" s="16" t="s">
        <v>327</v>
      </c>
    </row>
    <row r="119" spans="1:9" x14ac:dyDescent="0.3">
      <c r="A119" s="12" t="s">
        <v>3048</v>
      </c>
      <c r="B119" s="12" t="s">
        <v>578</v>
      </c>
      <c r="C119" s="12" t="s">
        <v>1273</v>
      </c>
      <c r="D119" s="12" t="s">
        <v>1591</v>
      </c>
      <c r="E119" s="13" t="s">
        <v>1589</v>
      </c>
      <c r="F119" s="13" t="s">
        <v>1486</v>
      </c>
      <c r="G119" s="16" t="s">
        <v>209</v>
      </c>
      <c r="H119" s="16" t="s">
        <v>703</v>
      </c>
      <c r="I119" s="16" t="s">
        <v>328</v>
      </c>
    </row>
    <row r="120" spans="1:9" x14ac:dyDescent="0.3">
      <c r="A120" s="12" t="s">
        <v>3049</v>
      </c>
      <c r="B120" s="12" t="s">
        <v>578</v>
      </c>
      <c r="C120" s="12" t="s">
        <v>1274</v>
      </c>
      <c r="D120" s="12" t="s">
        <v>1183</v>
      </c>
      <c r="E120" s="13" t="s">
        <v>1589</v>
      </c>
      <c r="F120" s="13" t="s">
        <v>1487</v>
      </c>
      <c r="G120" s="16" t="s">
        <v>210</v>
      </c>
      <c r="H120" s="16" t="s">
        <v>704</v>
      </c>
      <c r="I120" s="16" t="s">
        <v>329</v>
      </c>
    </row>
    <row r="121" spans="1:9" x14ac:dyDescent="0.3">
      <c r="A121" s="12" t="s">
        <v>3050</v>
      </c>
      <c r="B121" s="12" t="s">
        <v>578</v>
      </c>
      <c r="C121" s="12" t="s">
        <v>1275</v>
      </c>
      <c r="D121" s="12" t="s">
        <v>1591</v>
      </c>
      <c r="E121" s="13" t="s">
        <v>1597</v>
      </c>
      <c r="F121" s="13" t="s">
        <v>1488</v>
      </c>
      <c r="G121" s="16" t="s">
        <v>211</v>
      </c>
      <c r="H121" s="16" t="s">
        <v>705</v>
      </c>
      <c r="I121" s="16" t="s">
        <v>330</v>
      </c>
    </row>
    <row r="122" spans="1:9" x14ac:dyDescent="0.3">
      <c r="A122" s="12" t="s">
        <v>3051</v>
      </c>
      <c r="B122" s="12" t="s">
        <v>578</v>
      </c>
      <c r="C122" s="12" t="s">
        <v>1275</v>
      </c>
      <c r="D122" s="12" t="s">
        <v>1591</v>
      </c>
      <c r="E122" s="13" t="s">
        <v>1589</v>
      </c>
      <c r="F122" s="13" t="s">
        <v>1489</v>
      </c>
      <c r="G122" s="16" t="s">
        <v>212</v>
      </c>
      <c r="H122" s="16" t="s">
        <v>706</v>
      </c>
      <c r="I122" s="16" t="s">
        <v>331</v>
      </c>
    </row>
    <row r="123" spans="1:9" x14ac:dyDescent="0.3">
      <c r="A123" s="12" t="s">
        <v>3052</v>
      </c>
      <c r="B123" s="12" t="s">
        <v>578</v>
      </c>
      <c r="C123" s="12" t="s">
        <v>1276</v>
      </c>
      <c r="D123" s="12" t="s">
        <v>1590</v>
      </c>
      <c r="E123" s="13" t="s">
        <v>1589</v>
      </c>
      <c r="F123" s="13" t="s">
        <v>1490</v>
      </c>
      <c r="G123" s="16" t="s">
        <v>213</v>
      </c>
      <c r="H123" s="16" t="s">
        <v>707</v>
      </c>
      <c r="I123" s="16" t="s">
        <v>332</v>
      </c>
    </row>
    <row r="124" spans="1:9" x14ac:dyDescent="0.3">
      <c r="A124" s="12" t="s">
        <v>3053</v>
      </c>
      <c r="B124" s="12" t="s">
        <v>578</v>
      </c>
      <c r="C124" s="12" t="s">
        <v>1277</v>
      </c>
      <c r="D124" s="12" t="s">
        <v>1591</v>
      </c>
      <c r="E124" s="13" t="s">
        <v>1597</v>
      </c>
      <c r="F124" s="13" t="s">
        <v>1491</v>
      </c>
      <c r="G124" s="16" t="s">
        <v>214</v>
      </c>
      <c r="H124" s="16" t="s">
        <v>708</v>
      </c>
      <c r="I124" s="16" t="s">
        <v>333</v>
      </c>
    </row>
    <row r="125" spans="1:9" x14ac:dyDescent="0.3">
      <c r="A125" s="12" t="s">
        <v>3054</v>
      </c>
      <c r="B125" s="12" t="s">
        <v>578</v>
      </c>
      <c r="C125" s="12" t="s">
        <v>1278</v>
      </c>
      <c r="D125" s="12" t="s">
        <v>1177</v>
      </c>
      <c r="E125" s="13" t="s">
        <v>1597</v>
      </c>
      <c r="F125" s="13" t="s">
        <v>1492</v>
      </c>
      <c r="G125" s="16" t="s">
        <v>215</v>
      </c>
      <c r="H125" s="16" t="s">
        <v>709</v>
      </c>
      <c r="I125" s="16" t="s">
        <v>334</v>
      </c>
    </row>
    <row r="126" spans="1:9" x14ac:dyDescent="0.3">
      <c r="A126" s="12" t="s">
        <v>3055</v>
      </c>
      <c r="B126" s="12" t="s">
        <v>578</v>
      </c>
      <c r="C126" s="12" t="s">
        <v>1279</v>
      </c>
      <c r="D126" s="12" t="s">
        <v>1590</v>
      </c>
      <c r="E126" s="13" t="s">
        <v>1589</v>
      </c>
      <c r="F126" s="13" t="s">
        <v>1493</v>
      </c>
      <c r="G126" s="16" t="s">
        <v>216</v>
      </c>
      <c r="H126" s="16" t="s">
        <v>710</v>
      </c>
      <c r="I126" s="16" t="s">
        <v>335</v>
      </c>
    </row>
    <row r="127" spans="1:9" x14ac:dyDescent="0.3">
      <c r="A127" s="12" t="s">
        <v>3056</v>
      </c>
      <c r="B127" s="12" t="s">
        <v>578</v>
      </c>
      <c r="C127" s="12" t="s">
        <v>1280</v>
      </c>
      <c r="D127" s="12" t="s">
        <v>1591</v>
      </c>
      <c r="E127" s="13" t="s">
        <v>1589</v>
      </c>
      <c r="F127" s="13" t="s">
        <v>1494</v>
      </c>
      <c r="G127" s="16" t="s">
        <v>217</v>
      </c>
      <c r="H127" s="16" t="s">
        <v>711</v>
      </c>
      <c r="I127" s="16" t="s">
        <v>336</v>
      </c>
    </row>
    <row r="128" spans="1:9" x14ac:dyDescent="0.3">
      <c r="A128" s="12" t="s">
        <v>3057</v>
      </c>
      <c r="B128" s="12" t="s">
        <v>578</v>
      </c>
      <c r="C128" s="12" t="s">
        <v>1281</v>
      </c>
      <c r="D128" s="12" t="s">
        <v>1591</v>
      </c>
      <c r="E128" s="13" t="s">
        <v>1597</v>
      </c>
      <c r="F128" s="13" t="s">
        <v>1495</v>
      </c>
      <c r="G128" s="16" t="s">
        <v>218</v>
      </c>
      <c r="H128" s="16" t="s">
        <v>712</v>
      </c>
      <c r="I128" s="16" t="s">
        <v>337</v>
      </c>
    </row>
    <row r="129" spans="1:9" x14ac:dyDescent="0.3">
      <c r="A129" s="12" t="s">
        <v>3058</v>
      </c>
      <c r="B129" s="12" t="s">
        <v>578</v>
      </c>
      <c r="C129" s="12" t="s">
        <v>1282</v>
      </c>
      <c r="D129" s="12" t="s">
        <v>1590</v>
      </c>
      <c r="E129" s="13" t="s">
        <v>1597</v>
      </c>
      <c r="F129" s="13" t="s">
        <v>1496</v>
      </c>
      <c r="G129" s="16" t="s">
        <v>219</v>
      </c>
      <c r="H129" s="16" t="s">
        <v>713</v>
      </c>
      <c r="I129" s="16" t="s">
        <v>338</v>
      </c>
    </row>
    <row r="130" spans="1:9" x14ac:dyDescent="0.3">
      <c r="A130" s="12" t="s">
        <v>3059</v>
      </c>
      <c r="B130" s="12" t="s">
        <v>578</v>
      </c>
      <c r="C130" s="12" t="s">
        <v>1283</v>
      </c>
      <c r="D130" s="12" t="s">
        <v>1165</v>
      </c>
      <c r="E130" s="13" t="s">
        <v>1589</v>
      </c>
      <c r="F130" s="13" t="s">
        <v>1497</v>
      </c>
      <c r="G130" s="16" t="s">
        <v>220</v>
      </c>
      <c r="H130" s="16" t="s">
        <v>714</v>
      </c>
      <c r="I130" s="16" t="s">
        <v>339</v>
      </c>
    </row>
    <row r="131" spans="1:9" x14ac:dyDescent="0.3">
      <c r="A131" s="12" t="s">
        <v>3060</v>
      </c>
      <c r="B131" s="12" t="s">
        <v>578</v>
      </c>
      <c r="C131" s="12" t="s">
        <v>1284</v>
      </c>
      <c r="D131" s="12" t="s">
        <v>1591</v>
      </c>
      <c r="E131" s="13" t="s">
        <v>1589</v>
      </c>
      <c r="F131" s="13" t="s">
        <v>1498</v>
      </c>
      <c r="G131" s="16" t="s">
        <v>221</v>
      </c>
      <c r="H131" s="16" t="s">
        <v>715</v>
      </c>
      <c r="I131" s="16" t="s">
        <v>340</v>
      </c>
    </row>
    <row r="132" spans="1:9" x14ac:dyDescent="0.3">
      <c r="A132" s="12" t="s">
        <v>3061</v>
      </c>
      <c r="B132" s="12" t="s">
        <v>578</v>
      </c>
      <c r="C132" s="12" t="s">
        <v>1285</v>
      </c>
      <c r="D132" s="12" t="s">
        <v>1591</v>
      </c>
      <c r="E132" s="13" t="s">
        <v>1589</v>
      </c>
      <c r="F132" s="13" t="s">
        <v>1499</v>
      </c>
      <c r="G132" s="16" t="s">
        <v>222</v>
      </c>
      <c r="H132" s="16" t="s">
        <v>716</v>
      </c>
      <c r="I132" s="16" t="s">
        <v>341</v>
      </c>
    </row>
    <row r="133" spans="1:9" x14ac:dyDescent="0.3">
      <c r="A133" s="12" t="s">
        <v>3062</v>
      </c>
      <c r="B133" s="12" t="s">
        <v>578</v>
      </c>
      <c r="C133" s="12" t="s">
        <v>1286</v>
      </c>
      <c r="D133" s="12" t="s">
        <v>1590</v>
      </c>
      <c r="E133" s="13" t="s">
        <v>1589</v>
      </c>
      <c r="F133" s="13" t="s">
        <v>1500</v>
      </c>
      <c r="G133" s="16" t="s">
        <v>223</v>
      </c>
      <c r="H133" s="16" t="s">
        <v>717</v>
      </c>
      <c r="I133" s="16" t="s">
        <v>342</v>
      </c>
    </row>
    <row r="134" spans="1:9" x14ac:dyDescent="0.3">
      <c r="A134" s="12" t="s">
        <v>3063</v>
      </c>
      <c r="B134" s="12" t="s">
        <v>578</v>
      </c>
      <c r="C134" s="12" t="s">
        <v>1287</v>
      </c>
      <c r="D134" s="12" t="s">
        <v>1590</v>
      </c>
      <c r="E134" s="13" t="s">
        <v>1589</v>
      </c>
      <c r="F134" s="13" t="s">
        <v>1501</v>
      </c>
      <c r="G134" s="16" t="s">
        <v>224</v>
      </c>
      <c r="H134" s="16" t="s">
        <v>718</v>
      </c>
      <c r="I134" s="16" t="s">
        <v>343</v>
      </c>
    </row>
    <row r="135" spans="1:9" x14ac:dyDescent="0.3">
      <c r="A135" s="12" t="s">
        <v>3064</v>
      </c>
      <c r="B135" s="12" t="s">
        <v>578</v>
      </c>
      <c r="C135" s="12" t="s">
        <v>1288</v>
      </c>
      <c r="D135" s="12" t="s">
        <v>1590</v>
      </c>
      <c r="E135" s="13" t="s">
        <v>1596</v>
      </c>
      <c r="F135" s="13" t="s">
        <v>1402</v>
      </c>
      <c r="G135" s="16" t="s">
        <v>225</v>
      </c>
      <c r="H135" s="16" t="s">
        <v>719</v>
      </c>
      <c r="I135" s="16" t="s">
        <v>344</v>
      </c>
    </row>
    <row r="136" spans="1:9" x14ac:dyDescent="0.3">
      <c r="A136" s="12" t="s">
        <v>3065</v>
      </c>
      <c r="B136" s="12" t="s">
        <v>578</v>
      </c>
      <c r="C136" s="12" t="s">
        <v>1289</v>
      </c>
      <c r="D136" s="12" t="s">
        <v>1591</v>
      </c>
      <c r="E136" s="13" t="s">
        <v>1589</v>
      </c>
      <c r="F136" s="13" t="s">
        <v>1502</v>
      </c>
      <c r="G136" s="16" t="s">
        <v>226</v>
      </c>
      <c r="H136" s="16" t="s">
        <v>720</v>
      </c>
      <c r="I136" s="16" t="s">
        <v>345</v>
      </c>
    </row>
    <row r="137" spans="1:9" x14ac:dyDescent="0.3">
      <c r="A137" s="12" t="s">
        <v>3066</v>
      </c>
      <c r="B137" s="12" t="s">
        <v>578</v>
      </c>
      <c r="C137" s="12" t="s">
        <v>1290</v>
      </c>
      <c r="D137" s="12" t="s">
        <v>1177</v>
      </c>
      <c r="E137" s="13" t="s">
        <v>1597</v>
      </c>
      <c r="F137" s="13" t="s">
        <v>1456</v>
      </c>
      <c r="G137" s="16" t="s">
        <v>227</v>
      </c>
      <c r="H137" s="16" t="s">
        <v>721</v>
      </c>
      <c r="I137" s="16" t="s">
        <v>346</v>
      </c>
    </row>
    <row r="138" spans="1:9" x14ac:dyDescent="0.3">
      <c r="A138" s="12" t="s">
        <v>3067</v>
      </c>
      <c r="B138" s="12" t="s">
        <v>578</v>
      </c>
      <c r="C138" s="12" t="s">
        <v>1291</v>
      </c>
      <c r="D138" s="12" t="s">
        <v>1591</v>
      </c>
      <c r="E138" s="13" t="s">
        <v>1589</v>
      </c>
      <c r="F138" s="13" t="s">
        <v>1503</v>
      </c>
      <c r="G138" s="16" t="s">
        <v>228</v>
      </c>
      <c r="H138" s="16" t="s">
        <v>722</v>
      </c>
      <c r="I138" s="16" t="s">
        <v>347</v>
      </c>
    </row>
    <row r="139" spans="1:9" x14ac:dyDescent="0.3">
      <c r="A139" s="12" t="s">
        <v>3068</v>
      </c>
      <c r="B139" s="12" t="s">
        <v>578</v>
      </c>
      <c r="C139" s="12" t="s">
        <v>1291</v>
      </c>
      <c r="D139" s="12" t="s">
        <v>1591</v>
      </c>
      <c r="E139" s="13" t="s">
        <v>1589</v>
      </c>
      <c r="F139" s="13" t="s">
        <v>1504</v>
      </c>
      <c r="G139" s="16" t="s">
        <v>229</v>
      </c>
      <c r="H139" s="16" t="s">
        <v>723</v>
      </c>
      <c r="I139" s="16" t="s">
        <v>348</v>
      </c>
    </row>
    <row r="140" spans="1:9" x14ac:dyDescent="0.3">
      <c r="A140" s="12" t="s">
        <v>3069</v>
      </c>
      <c r="B140" s="12" t="s">
        <v>578</v>
      </c>
      <c r="C140" s="12" t="s">
        <v>1292</v>
      </c>
      <c r="D140" s="12" t="s">
        <v>1590</v>
      </c>
      <c r="E140" s="13" t="s">
        <v>1589</v>
      </c>
      <c r="F140" s="13" t="s">
        <v>1505</v>
      </c>
      <c r="G140" s="16" t="s">
        <v>230</v>
      </c>
      <c r="H140" s="16" t="s">
        <v>724</v>
      </c>
      <c r="I140" s="16" t="s">
        <v>349</v>
      </c>
    </row>
    <row r="141" spans="1:9" x14ac:dyDescent="0.3">
      <c r="A141" s="12" t="s">
        <v>3070</v>
      </c>
      <c r="B141" s="12" t="s">
        <v>578</v>
      </c>
      <c r="C141" s="12" t="s">
        <v>1293</v>
      </c>
      <c r="D141" s="12" t="s">
        <v>1590</v>
      </c>
      <c r="E141" s="13" t="s">
        <v>1589</v>
      </c>
      <c r="F141" s="13" t="s">
        <v>1506</v>
      </c>
      <c r="G141" s="16" t="s">
        <v>231</v>
      </c>
      <c r="H141" s="16" t="s">
        <v>725</v>
      </c>
      <c r="I141" s="16" t="s">
        <v>350</v>
      </c>
    </row>
    <row r="142" spans="1:9" x14ac:dyDescent="0.3">
      <c r="A142" s="12" t="s">
        <v>3071</v>
      </c>
      <c r="B142" s="12" t="s">
        <v>578</v>
      </c>
      <c r="C142" s="12" t="s">
        <v>1294</v>
      </c>
      <c r="D142" s="12" t="s">
        <v>1590</v>
      </c>
      <c r="E142" s="13" t="s">
        <v>1597</v>
      </c>
      <c r="F142" s="13" t="s">
        <v>1507</v>
      </c>
      <c r="G142" s="16" t="s">
        <v>232</v>
      </c>
      <c r="H142" s="16" t="s">
        <v>726</v>
      </c>
      <c r="I142" s="16" t="s">
        <v>351</v>
      </c>
    </row>
    <row r="143" spans="1:9" x14ac:dyDescent="0.3">
      <c r="A143" s="12" t="s">
        <v>3072</v>
      </c>
      <c r="B143" s="12" t="s">
        <v>578</v>
      </c>
      <c r="C143" s="12" t="s">
        <v>1295</v>
      </c>
      <c r="D143" s="12" t="s">
        <v>1590</v>
      </c>
      <c r="E143" s="13" t="s">
        <v>1597</v>
      </c>
      <c r="F143" s="13" t="s">
        <v>1508</v>
      </c>
      <c r="G143" s="16" t="s">
        <v>233</v>
      </c>
      <c r="H143" s="16" t="s">
        <v>727</v>
      </c>
      <c r="I143" s="16" t="s">
        <v>352</v>
      </c>
    </row>
    <row r="144" spans="1:9" x14ac:dyDescent="0.3">
      <c r="A144" s="12" t="s">
        <v>3073</v>
      </c>
      <c r="B144" s="12" t="s">
        <v>578</v>
      </c>
      <c r="C144" s="12" t="s">
        <v>1296</v>
      </c>
      <c r="D144" s="12" t="s">
        <v>1591</v>
      </c>
      <c r="E144" s="13" t="s">
        <v>1589</v>
      </c>
      <c r="F144" s="13" t="s">
        <v>1509</v>
      </c>
      <c r="G144" s="16" t="s">
        <v>581</v>
      </c>
      <c r="H144" s="16" t="s">
        <v>1153</v>
      </c>
      <c r="I144" s="16" t="s">
        <v>455</v>
      </c>
    </row>
    <row r="145" spans="1:9" x14ac:dyDescent="0.3">
      <c r="A145" s="12" t="s">
        <v>3074</v>
      </c>
      <c r="B145" s="12" t="s">
        <v>578</v>
      </c>
      <c r="C145" s="12" t="s">
        <v>1297</v>
      </c>
      <c r="D145" s="12" t="s">
        <v>1177</v>
      </c>
      <c r="E145" s="13" t="s">
        <v>1596</v>
      </c>
      <c r="F145" s="13" t="s">
        <v>1510</v>
      </c>
      <c r="G145" s="16" t="s">
        <v>234</v>
      </c>
      <c r="H145" s="16" t="s">
        <v>728</v>
      </c>
      <c r="I145" s="16" t="s">
        <v>353</v>
      </c>
    </row>
    <row r="146" spans="1:9" x14ac:dyDescent="0.3">
      <c r="A146" s="12" t="s">
        <v>3075</v>
      </c>
      <c r="B146" s="12" t="s">
        <v>578</v>
      </c>
      <c r="C146" s="12" t="s">
        <v>1298</v>
      </c>
      <c r="D146" s="12" t="s">
        <v>1591</v>
      </c>
      <c r="E146" s="13" t="s">
        <v>1589</v>
      </c>
      <c r="F146" s="13" t="s">
        <v>1511</v>
      </c>
      <c r="G146" s="16" t="s">
        <v>235</v>
      </c>
      <c r="H146" s="16" t="s">
        <v>729</v>
      </c>
      <c r="I146" s="16" t="s">
        <v>354</v>
      </c>
    </row>
    <row r="147" spans="1:9" x14ac:dyDescent="0.3">
      <c r="A147" s="12" t="s">
        <v>3076</v>
      </c>
      <c r="B147" s="12" t="s">
        <v>578</v>
      </c>
      <c r="C147" s="12" t="s">
        <v>1299</v>
      </c>
      <c r="D147" s="12" t="s">
        <v>1591</v>
      </c>
      <c r="E147" s="13" t="s">
        <v>1596</v>
      </c>
      <c r="F147" s="13" t="s">
        <v>1512</v>
      </c>
      <c r="G147" s="16" t="s">
        <v>236</v>
      </c>
      <c r="H147" s="16" t="s">
        <v>730</v>
      </c>
      <c r="I147" s="16" t="s">
        <v>355</v>
      </c>
    </row>
    <row r="148" spans="1:9" x14ac:dyDescent="0.3">
      <c r="A148" s="12" t="s">
        <v>3077</v>
      </c>
      <c r="B148" s="12" t="s">
        <v>578</v>
      </c>
      <c r="C148" s="12" t="s">
        <v>1300</v>
      </c>
      <c r="D148" s="12" t="s">
        <v>1590</v>
      </c>
      <c r="E148" s="13" t="s">
        <v>1589</v>
      </c>
      <c r="F148" s="13" t="s">
        <v>1513</v>
      </c>
      <c r="G148" s="16" t="s">
        <v>237</v>
      </c>
      <c r="H148" s="16" t="s">
        <v>731</v>
      </c>
      <c r="I148" s="16" t="s">
        <v>356</v>
      </c>
    </row>
    <row r="149" spans="1:9" x14ac:dyDescent="0.3">
      <c r="A149" s="12" t="s">
        <v>3078</v>
      </c>
      <c r="B149" s="12" t="s">
        <v>578</v>
      </c>
      <c r="C149" s="12" t="s">
        <v>1301</v>
      </c>
      <c r="D149" s="12" t="s">
        <v>1183</v>
      </c>
      <c r="E149" s="13" t="s">
        <v>1597</v>
      </c>
      <c r="F149" s="13" t="s">
        <v>1514</v>
      </c>
      <c r="G149" s="16" t="s">
        <v>238</v>
      </c>
      <c r="H149" s="16" t="s">
        <v>732</v>
      </c>
      <c r="I149" s="16" t="s">
        <v>357</v>
      </c>
    </row>
    <row r="150" spans="1:9" x14ac:dyDescent="0.3">
      <c r="A150" s="12" t="s">
        <v>3079</v>
      </c>
      <c r="B150" s="12" t="s">
        <v>578</v>
      </c>
      <c r="C150" s="12" t="s">
        <v>1302</v>
      </c>
      <c r="D150" s="12" t="s">
        <v>1590</v>
      </c>
      <c r="E150" s="13" t="s">
        <v>1596</v>
      </c>
      <c r="F150" s="13" t="s">
        <v>1402</v>
      </c>
      <c r="G150" s="16" t="s">
        <v>239</v>
      </c>
      <c r="H150" s="16" t="s">
        <v>733</v>
      </c>
      <c r="I150" s="16" t="s">
        <v>358</v>
      </c>
    </row>
    <row r="151" spans="1:9" x14ac:dyDescent="0.3">
      <c r="A151" s="12" t="s">
        <v>3080</v>
      </c>
      <c r="B151" s="12" t="s">
        <v>578</v>
      </c>
      <c r="C151" s="12" t="s">
        <v>1303</v>
      </c>
      <c r="D151" s="12" t="s">
        <v>1590</v>
      </c>
      <c r="E151" s="13" t="s">
        <v>1597</v>
      </c>
      <c r="F151" s="13" t="s">
        <v>1515</v>
      </c>
      <c r="G151" s="16" t="s">
        <v>240</v>
      </c>
      <c r="H151" s="16" t="s">
        <v>734</v>
      </c>
      <c r="I151" s="16" t="s">
        <v>359</v>
      </c>
    </row>
    <row r="152" spans="1:9" x14ac:dyDescent="0.3">
      <c r="A152" s="12" t="s">
        <v>3081</v>
      </c>
      <c r="B152" s="12" t="s">
        <v>578</v>
      </c>
      <c r="C152" s="12" t="s">
        <v>1304</v>
      </c>
      <c r="D152" s="12" t="s">
        <v>1591</v>
      </c>
      <c r="E152" s="13" t="s">
        <v>1589</v>
      </c>
      <c r="F152" s="13" t="s">
        <v>1516</v>
      </c>
      <c r="G152" s="16" t="s">
        <v>241</v>
      </c>
      <c r="H152" s="16" t="s">
        <v>735</v>
      </c>
      <c r="I152" s="16" t="s">
        <v>360</v>
      </c>
    </row>
    <row r="153" spans="1:9" x14ac:dyDescent="0.3">
      <c r="A153" s="12" t="s">
        <v>3082</v>
      </c>
      <c r="B153" s="12" t="s">
        <v>578</v>
      </c>
      <c r="C153" s="12" t="s">
        <v>1304</v>
      </c>
      <c r="D153" s="12" t="s">
        <v>1591</v>
      </c>
      <c r="E153" s="13" t="s">
        <v>1589</v>
      </c>
      <c r="F153" s="13" t="s">
        <v>1517</v>
      </c>
      <c r="G153" s="16" t="s">
        <v>582</v>
      </c>
      <c r="H153" s="16" t="s">
        <v>1145</v>
      </c>
      <c r="I153" s="16" t="s">
        <v>453</v>
      </c>
    </row>
    <row r="154" spans="1:9" x14ac:dyDescent="0.3">
      <c r="A154" s="12" t="s">
        <v>3083</v>
      </c>
      <c r="B154" s="12" t="s">
        <v>578</v>
      </c>
      <c r="C154" s="12" t="s">
        <v>1305</v>
      </c>
      <c r="D154" s="12" t="s">
        <v>1591</v>
      </c>
      <c r="E154" s="13" t="s">
        <v>1597</v>
      </c>
      <c r="F154" s="13" t="s">
        <v>1518</v>
      </c>
      <c r="G154" s="16" t="s">
        <v>242</v>
      </c>
      <c r="H154" s="16" t="s">
        <v>736</v>
      </c>
      <c r="I154" s="16" t="s">
        <v>361</v>
      </c>
    </row>
    <row r="155" spans="1:9" x14ac:dyDescent="0.3">
      <c r="A155" s="12" t="s">
        <v>3084</v>
      </c>
      <c r="B155" s="12" t="s">
        <v>578</v>
      </c>
      <c r="C155" s="12" t="s">
        <v>1306</v>
      </c>
      <c r="D155" s="12" t="s">
        <v>1590</v>
      </c>
      <c r="E155" s="13" t="s">
        <v>1597</v>
      </c>
      <c r="F155" s="13" t="s">
        <v>1519</v>
      </c>
      <c r="G155" s="16" t="s">
        <v>285</v>
      </c>
      <c r="H155" s="16" t="s">
        <v>739</v>
      </c>
      <c r="I155" s="16" t="s">
        <v>474</v>
      </c>
    </row>
    <row r="156" spans="1:9" x14ac:dyDescent="0.3">
      <c r="A156" s="12" t="s">
        <v>3085</v>
      </c>
      <c r="B156" s="12" t="s">
        <v>578</v>
      </c>
      <c r="C156" s="12" t="s">
        <v>1307</v>
      </c>
      <c r="D156" s="12" t="s">
        <v>1177</v>
      </c>
      <c r="E156" s="13" t="s">
        <v>1597</v>
      </c>
      <c r="F156" s="13" t="s">
        <v>1438</v>
      </c>
      <c r="G156" s="16" t="s">
        <v>243</v>
      </c>
      <c r="H156" s="16" t="s">
        <v>737</v>
      </c>
      <c r="I156" s="16" t="s">
        <v>363</v>
      </c>
    </row>
    <row r="157" spans="1:9" x14ac:dyDescent="0.3">
      <c r="A157" s="12" t="s">
        <v>3086</v>
      </c>
      <c r="B157" s="12" t="s">
        <v>578</v>
      </c>
      <c r="C157" s="12" t="s">
        <v>1308</v>
      </c>
      <c r="D157" s="12" t="s">
        <v>1590</v>
      </c>
      <c r="E157" s="13" t="s">
        <v>1589</v>
      </c>
      <c r="F157" s="13" t="s">
        <v>1520</v>
      </c>
      <c r="G157" s="16" t="s">
        <v>371</v>
      </c>
      <c r="H157" s="16" t="s">
        <v>738</v>
      </c>
      <c r="I157" s="16" t="s">
        <v>364</v>
      </c>
    </row>
    <row r="158" spans="1:9" x14ac:dyDescent="0.3">
      <c r="A158" s="12" t="s">
        <v>3087</v>
      </c>
      <c r="B158" s="12" t="s">
        <v>578</v>
      </c>
      <c r="C158" s="12" t="s">
        <v>1309</v>
      </c>
      <c r="D158" s="12" t="s">
        <v>1591</v>
      </c>
      <c r="E158" s="13" t="s">
        <v>1597</v>
      </c>
      <c r="F158" s="13" t="s">
        <v>1521</v>
      </c>
      <c r="G158" s="16" t="s">
        <v>244</v>
      </c>
      <c r="H158" s="16" t="s">
        <v>740</v>
      </c>
      <c r="I158" s="16" t="s">
        <v>365</v>
      </c>
    </row>
    <row r="159" spans="1:9" x14ac:dyDescent="0.3">
      <c r="A159" s="12" t="s">
        <v>3088</v>
      </c>
      <c r="B159" s="12" t="s">
        <v>578</v>
      </c>
      <c r="C159" s="12" t="s">
        <v>1310</v>
      </c>
      <c r="D159" s="12" t="s">
        <v>1590</v>
      </c>
      <c r="E159" s="13" t="s">
        <v>1589</v>
      </c>
      <c r="F159" s="13" t="s">
        <v>1522</v>
      </c>
      <c r="G159" s="16" t="s">
        <v>245</v>
      </c>
      <c r="H159" s="16" t="s">
        <v>741</v>
      </c>
      <c r="I159" s="16" t="s">
        <v>366</v>
      </c>
    </row>
    <row r="160" spans="1:9" x14ac:dyDescent="0.3">
      <c r="A160" s="12" t="s">
        <v>3089</v>
      </c>
      <c r="B160" s="12" t="s">
        <v>578</v>
      </c>
      <c r="C160" s="12" t="s">
        <v>1311</v>
      </c>
      <c r="D160" s="12" t="s">
        <v>1591</v>
      </c>
      <c r="E160" s="13" t="s">
        <v>1597</v>
      </c>
      <c r="F160" s="13" t="s">
        <v>1523</v>
      </c>
      <c r="G160" s="16" t="s">
        <v>246</v>
      </c>
      <c r="H160" s="16" t="s">
        <v>742</v>
      </c>
      <c r="I160" s="16" t="s">
        <v>367</v>
      </c>
    </row>
    <row r="161" spans="1:9" x14ac:dyDescent="0.3">
      <c r="A161" s="12" t="s">
        <v>3090</v>
      </c>
      <c r="B161" s="12" t="s">
        <v>578</v>
      </c>
      <c r="C161" s="12" t="s">
        <v>1311</v>
      </c>
      <c r="D161" s="12" t="s">
        <v>1591</v>
      </c>
      <c r="E161" s="13" t="s">
        <v>1597</v>
      </c>
      <c r="F161" s="13" t="s">
        <v>1524</v>
      </c>
      <c r="G161" s="16" t="s">
        <v>247</v>
      </c>
      <c r="H161" s="16" t="s">
        <v>743</v>
      </c>
      <c r="I161" s="16" t="s">
        <v>368</v>
      </c>
    </row>
    <row r="162" spans="1:9" x14ac:dyDescent="0.3">
      <c r="A162" s="12" t="s">
        <v>3091</v>
      </c>
      <c r="B162" s="12" t="s">
        <v>578</v>
      </c>
      <c r="C162" s="12" t="s">
        <v>1312</v>
      </c>
      <c r="D162" s="12" t="s">
        <v>1177</v>
      </c>
      <c r="E162" s="13" t="s">
        <v>1597</v>
      </c>
      <c r="F162" s="13" t="s">
        <v>1525</v>
      </c>
      <c r="G162" s="16" t="s">
        <v>248</v>
      </c>
      <c r="H162" s="16" t="s">
        <v>744</v>
      </c>
      <c r="I162" s="16" t="s">
        <v>369</v>
      </c>
    </row>
    <row r="163" spans="1:9" x14ac:dyDescent="0.3">
      <c r="A163" s="12" t="s">
        <v>3092</v>
      </c>
      <c r="B163" s="12" t="s">
        <v>578</v>
      </c>
      <c r="C163" s="12" t="s">
        <v>1313</v>
      </c>
      <c r="D163" s="12" t="s">
        <v>1590</v>
      </c>
      <c r="E163" s="13" t="s">
        <v>1597</v>
      </c>
      <c r="F163" s="13" t="s">
        <v>1526</v>
      </c>
      <c r="G163" s="16" t="s">
        <v>249</v>
      </c>
      <c r="H163" s="16" t="s">
        <v>745</v>
      </c>
      <c r="I163" s="16" t="s">
        <v>370</v>
      </c>
    </row>
    <row r="164" spans="1:9" x14ac:dyDescent="0.3">
      <c r="A164" s="12" t="s">
        <v>3093</v>
      </c>
      <c r="B164" s="12" t="s">
        <v>578</v>
      </c>
      <c r="C164" s="12" t="s">
        <v>1314</v>
      </c>
      <c r="D164" s="12" t="s">
        <v>1590</v>
      </c>
      <c r="E164" s="13" t="s">
        <v>1597</v>
      </c>
      <c r="F164" s="13" t="s">
        <v>1527</v>
      </c>
      <c r="G164" s="16" t="s">
        <v>250</v>
      </c>
      <c r="H164" s="16" t="s">
        <v>746</v>
      </c>
      <c r="I164" s="16" t="s">
        <v>372</v>
      </c>
    </row>
    <row r="165" spans="1:9" x14ac:dyDescent="0.3">
      <c r="A165" s="12" t="s">
        <v>3094</v>
      </c>
      <c r="B165" s="12" t="s">
        <v>578</v>
      </c>
      <c r="C165" s="12" t="s">
        <v>1315</v>
      </c>
      <c r="D165" s="12" t="s">
        <v>1590</v>
      </c>
      <c r="E165" s="13" t="s">
        <v>1597</v>
      </c>
      <c r="F165" s="13" t="s">
        <v>1528</v>
      </c>
      <c r="G165" s="16" t="s">
        <v>251</v>
      </c>
      <c r="H165" s="16" t="s">
        <v>747</v>
      </c>
      <c r="I165" s="16" t="s">
        <v>373</v>
      </c>
    </row>
    <row r="166" spans="1:9" x14ac:dyDescent="0.3">
      <c r="A166" s="12" t="s">
        <v>3095</v>
      </c>
      <c r="B166" s="12" t="s">
        <v>578</v>
      </c>
      <c r="C166" s="12" t="s">
        <v>1316</v>
      </c>
      <c r="D166" s="12" t="s">
        <v>1590</v>
      </c>
      <c r="E166" s="13" t="s">
        <v>1597</v>
      </c>
      <c r="F166" s="13" t="s">
        <v>1529</v>
      </c>
      <c r="G166" s="16" t="s">
        <v>252</v>
      </c>
      <c r="H166" s="16" t="s">
        <v>748</v>
      </c>
      <c r="I166" s="16" t="s">
        <v>374</v>
      </c>
    </row>
    <row r="167" spans="1:9" x14ac:dyDescent="0.3">
      <c r="A167" s="12" t="s">
        <v>3096</v>
      </c>
      <c r="B167" s="12" t="s">
        <v>578</v>
      </c>
      <c r="C167" s="12" t="s">
        <v>1317</v>
      </c>
      <c r="D167" s="12" t="s">
        <v>1591</v>
      </c>
      <c r="E167" s="13" t="s">
        <v>1589</v>
      </c>
      <c r="F167" s="13" t="s">
        <v>1530</v>
      </c>
      <c r="G167" s="16" t="s">
        <v>446</v>
      </c>
      <c r="H167" s="16" t="s">
        <v>1146</v>
      </c>
      <c r="I167" s="16" t="s">
        <v>456</v>
      </c>
    </row>
    <row r="168" spans="1:9" x14ac:dyDescent="0.3">
      <c r="A168" s="12" t="s">
        <v>3097</v>
      </c>
      <c r="B168" s="12" t="s">
        <v>578</v>
      </c>
      <c r="C168" s="12" t="s">
        <v>1318</v>
      </c>
      <c r="D168" s="12" t="s">
        <v>1591</v>
      </c>
      <c r="E168" s="13" t="s">
        <v>1589</v>
      </c>
      <c r="F168" s="13" t="s">
        <v>1531</v>
      </c>
      <c r="G168" s="16" t="s">
        <v>253</v>
      </c>
      <c r="H168" s="16" t="s">
        <v>749</v>
      </c>
      <c r="I168" s="16" t="s">
        <v>375</v>
      </c>
    </row>
    <row r="169" spans="1:9" x14ac:dyDescent="0.3">
      <c r="A169" s="12" t="s">
        <v>3098</v>
      </c>
      <c r="B169" s="12" t="s">
        <v>578</v>
      </c>
      <c r="C169" s="12" t="s">
        <v>1319</v>
      </c>
      <c r="D169" s="12" t="s">
        <v>1590</v>
      </c>
      <c r="E169" s="13" t="s">
        <v>1598</v>
      </c>
      <c r="F169" s="13" t="s">
        <v>1402</v>
      </c>
      <c r="G169" s="16" t="s">
        <v>254</v>
      </c>
      <c r="H169" s="16" t="s">
        <v>750</v>
      </c>
      <c r="I169" s="16" t="s">
        <v>376</v>
      </c>
    </row>
    <row r="170" spans="1:9" x14ac:dyDescent="0.3">
      <c r="A170" s="12" t="s">
        <v>3099</v>
      </c>
      <c r="B170" s="12" t="s">
        <v>578</v>
      </c>
      <c r="C170" s="12" t="s">
        <v>1320</v>
      </c>
      <c r="D170" s="12" t="s">
        <v>1591</v>
      </c>
      <c r="E170" s="13" t="s">
        <v>1597</v>
      </c>
      <c r="F170" s="13" t="s">
        <v>1532</v>
      </c>
      <c r="G170" s="16" t="s">
        <v>255</v>
      </c>
      <c r="H170" s="16" t="s">
        <v>751</v>
      </c>
      <c r="I170" s="16" t="s">
        <v>377</v>
      </c>
    </row>
    <row r="171" spans="1:9" x14ac:dyDescent="0.3">
      <c r="A171" s="12" t="s">
        <v>3100</v>
      </c>
      <c r="B171" s="12" t="s">
        <v>578</v>
      </c>
      <c r="C171" s="12" t="s">
        <v>1320</v>
      </c>
      <c r="D171" s="12" t="s">
        <v>1591</v>
      </c>
      <c r="E171" s="13" t="s">
        <v>1589</v>
      </c>
      <c r="F171" s="13" t="s">
        <v>1533</v>
      </c>
      <c r="G171" s="16" t="s">
        <v>256</v>
      </c>
      <c r="H171" s="16" t="s">
        <v>752</v>
      </c>
      <c r="I171" s="16" t="s">
        <v>378</v>
      </c>
    </row>
    <row r="172" spans="1:9" x14ac:dyDescent="0.3">
      <c r="A172" s="12" t="s">
        <v>3101</v>
      </c>
      <c r="B172" s="12" t="s">
        <v>578</v>
      </c>
      <c r="C172" s="12" t="s">
        <v>1321</v>
      </c>
      <c r="D172" s="12" t="s">
        <v>1591</v>
      </c>
      <c r="E172" s="13" t="s">
        <v>1589</v>
      </c>
      <c r="F172" s="13" t="s">
        <v>1534</v>
      </c>
      <c r="G172" s="16" t="s">
        <v>392</v>
      </c>
      <c r="H172" s="16" t="s">
        <v>1147</v>
      </c>
      <c r="I172" s="16" t="s">
        <v>379</v>
      </c>
    </row>
    <row r="173" spans="1:9" x14ac:dyDescent="0.3">
      <c r="A173" s="12" t="s">
        <v>3102</v>
      </c>
      <c r="B173" s="12" t="s">
        <v>578</v>
      </c>
      <c r="C173" s="12" t="s">
        <v>1322</v>
      </c>
      <c r="D173" s="12" t="s">
        <v>1591</v>
      </c>
      <c r="E173" s="13" t="s">
        <v>1597</v>
      </c>
      <c r="F173" s="13" t="s">
        <v>1535</v>
      </c>
      <c r="G173" s="16" t="s">
        <v>257</v>
      </c>
      <c r="H173" s="16" t="s">
        <v>753</v>
      </c>
      <c r="I173" s="16" t="s">
        <v>380</v>
      </c>
    </row>
    <row r="174" spans="1:9" x14ac:dyDescent="0.3">
      <c r="A174" s="12" t="s">
        <v>3103</v>
      </c>
      <c r="B174" s="12" t="s">
        <v>578</v>
      </c>
      <c r="C174" s="12" t="s">
        <v>1323</v>
      </c>
      <c r="D174" s="12" t="s">
        <v>1590</v>
      </c>
      <c r="E174" s="13" t="s">
        <v>1589</v>
      </c>
      <c r="F174" s="13" t="s">
        <v>1527</v>
      </c>
      <c r="G174" s="16" t="s">
        <v>258</v>
      </c>
      <c r="H174" s="16" t="s">
        <v>754</v>
      </c>
      <c r="I174" s="16" t="s">
        <v>381</v>
      </c>
    </row>
    <row r="175" spans="1:9" x14ac:dyDescent="0.3">
      <c r="A175" s="12" t="s">
        <v>3104</v>
      </c>
      <c r="B175" s="12" t="s">
        <v>578</v>
      </c>
      <c r="C175" s="12" t="s">
        <v>1324</v>
      </c>
      <c r="D175" s="12" t="s">
        <v>1591</v>
      </c>
      <c r="E175" s="13" t="s">
        <v>1589</v>
      </c>
      <c r="F175" s="13" t="s">
        <v>1536</v>
      </c>
      <c r="G175" s="16" t="s">
        <v>259</v>
      </c>
      <c r="H175" s="16" t="s">
        <v>755</v>
      </c>
      <c r="I175" s="16" t="s">
        <v>382</v>
      </c>
    </row>
    <row r="176" spans="1:9" x14ac:dyDescent="0.3">
      <c r="A176" s="12" t="s">
        <v>3105</v>
      </c>
      <c r="B176" s="12" t="s">
        <v>578</v>
      </c>
      <c r="C176" s="12" t="s">
        <v>1324</v>
      </c>
      <c r="D176" s="12" t="s">
        <v>1591</v>
      </c>
      <c r="E176" s="13" t="s">
        <v>1589</v>
      </c>
      <c r="F176" s="13" t="s">
        <v>1445</v>
      </c>
      <c r="G176" s="16" t="s">
        <v>260</v>
      </c>
      <c r="H176" s="16" t="s">
        <v>756</v>
      </c>
      <c r="I176" s="16" t="s">
        <v>383</v>
      </c>
    </row>
    <row r="177" spans="1:9" x14ac:dyDescent="0.3">
      <c r="A177" s="12" t="s">
        <v>3106</v>
      </c>
      <c r="B177" s="12" t="s">
        <v>578</v>
      </c>
      <c r="C177" s="12" t="s">
        <v>1325</v>
      </c>
      <c r="D177" s="12" t="s">
        <v>1590</v>
      </c>
      <c r="E177" s="13" t="s">
        <v>1597</v>
      </c>
      <c r="F177" s="13" t="s">
        <v>1537</v>
      </c>
      <c r="G177" s="16" t="s">
        <v>261</v>
      </c>
      <c r="H177" s="16" t="s">
        <v>757</v>
      </c>
      <c r="I177" s="16" t="s">
        <v>384</v>
      </c>
    </row>
    <row r="178" spans="1:9" x14ac:dyDescent="0.3">
      <c r="A178" s="12" t="s">
        <v>3107</v>
      </c>
      <c r="B178" s="12" t="s">
        <v>578</v>
      </c>
      <c r="C178" s="12" t="s">
        <v>1326</v>
      </c>
      <c r="D178" s="12" t="s">
        <v>1177</v>
      </c>
      <c r="E178" s="13" t="s">
        <v>1597</v>
      </c>
      <c r="F178" s="13" t="s">
        <v>1538</v>
      </c>
      <c r="G178" s="16" t="s">
        <v>262</v>
      </c>
      <c r="H178" s="16" t="s">
        <v>758</v>
      </c>
      <c r="I178" s="16" t="s">
        <v>385</v>
      </c>
    </row>
    <row r="179" spans="1:9" x14ac:dyDescent="0.3">
      <c r="A179" s="12" t="s">
        <v>3108</v>
      </c>
      <c r="B179" s="12" t="s">
        <v>578</v>
      </c>
      <c r="C179" s="12" t="s">
        <v>1327</v>
      </c>
      <c r="D179" s="12" t="s">
        <v>1591</v>
      </c>
      <c r="E179" s="13" t="s">
        <v>1597</v>
      </c>
      <c r="F179" s="13" t="s">
        <v>1539</v>
      </c>
      <c r="G179" s="16" t="s">
        <v>263</v>
      </c>
      <c r="H179" s="16" t="s">
        <v>759</v>
      </c>
      <c r="I179" s="16" t="s">
        <v>386</v>
      </c>
    </row>
    <row r="180" spans="1:9" x14ac:dyDescent="0.3">
      <c r="A180" s="12" t="s">
        <v>3109</v>
      </c>
      <c r="B180" s="12" t="s">
        <v>578</v>
      </c>
      <c r="C180" s="12" t="s">
        <v>1327</v>
      </c>
      <c r="D180" s="12" t="s">
        <v>1591</v>
      </c>
      <c r="E180" s="13" t="s">
        <v>1589</v>
      </c>
      <c r="F180" s="13" t="s">
        <v>1540</v>
      </c>
      <c r="G180" s="16" t="s">
        <v>264</v>
      </c>
      <c r="H180" s="16" t="s">
        <v>760</v>
      </c>
      <c r="I180" s="16" t="s">
        <v>387</v>
      </c>
    </row>
    <row r="181" spans="1:9" x14ac:dyDescent="0.3">
      <c r="A181" s="12" t="s">
        <v>3110</v>
      </c>
      <c r="B181" s="12" t="s">
        <v>578</v>
      </c>
      <c r="C181" s="12" t="s">
        <v>1328</v>
      </c>
      <c r="D181" s="12" t="s">
        <v>1591</v>
      </c>
      <c r="E181" s="13" t="s">
        <v>1589</v>
      </c>
      <c r="F181" s="13" t="s">
        <v>1541</v>
      </c>
      <c r="G181" s="16" t="s">
        <v>393</v>
      </c>
      <c r="H181" s="16" t="s">
        <v>1148</v>
      </c>
      <c r="I181" s="16" t="s">
        <v>388</v>
      </c>
    </row>
    <row r="182" spans="1:9" x14ac:dyDescent="0.3">
      <c r="A182" s="12" t="s">
        <v>3111</v>
      </c>
      <c r="B182" s="12" t="s">
        <v>578</v>
      </c>
      <c r="C182" s="12" t="s">
        <v>1329</v>
      </c>
      <c r="D182" s="12" t="s">
        <v>1591</v>
      </c>
      <c r="E182" s="13" t="s">
        <v>1589</v>
      </c>
      <c r="F182" s="13" t="s">
        <v>1542</v>
      </c>
      <c r="G182" s="16" t="s">
        <v>265</v>
      </c>
      <c r="H182" s="16" t="s">
        <v>761</v>
      </c>
      <c r="I182" s="16" t="s">
        <v>389</v>
      </c>
    </row>
    <row r="183" spans="1:9" x14ac:dyDescent="0.3">
      <c r="A183" s="12" t="s">
        <v>3112</v>
      </c>
      <c r="B183" s="12" t="s">
        <v>578</v>
      </c>
      <c r="C183" s="12" t="s">
        <v>1330</v>
      </c>
      <c r="D183" s="12" t="s">
        <v>1591</v>
      </c>
      <c r="E183" s="13" t="s">
        <v>1589</v>
      </c>
      <c r="F183" s="13" t="s">
        <v>1469</v>
      </c>
      <c r="G183" s="16" t="s">
        <v>266</v>
      </c>
      <c r="H183" s="16" t="s">
        <v>762</v>
      </c>
      <c r="I183" s="16" t="s">
        <v>390</v>
      </c>
    </row>
    <row r="184" spans="1:9" x14ac:dyDescent="0.3">
      <c r="A184" s="12" t="s">
        <v>3113</v>
      </c>
      <c r="B184" s="12" t="s">
        <v>578</v>
      </c>
      <c r="C184" s="12" t="s">
        <v>1331</v>
      </c>
      <c r="D184" s="12" t="s">
        <v>1177</v>
      </c>
      <c r="E184" s="13" t="s">
        <v>1597</v>
      </c>
      <c r="F184" s="13" t="s">
        <v>1543</v>
      </c>
      <c r="G184" s="16" t="s">
        <v>267</v>
      </c>
      <c r="H184" s="16" t="s">
        <v>763</v>
      </c>
      <c r="I184" s="16" t="s">
        <v>391</v>
      </c>
    </row>
    <row r="185" spans="1:9" x14ac:dyDescent="0.3">
      <c r="A185" s="12" t="s">
        <v>3114</v>
      </c>
      <c r="B185" s="12" t="s">
        <v>578</v>
      </c>
      <c r="C185" s="12" t="s">
        <v>1332</v>
      </c>
      <c r="D185" s="12" t="s">
        <v>1165</v>
      </c>
      <c r="E185" s="13" t="s">
        <v>1589</v>
      </c>
      <c r="F185" s="13" t="s">
        <v>1544</v>
      </c>
      <c r="G185" s="16" t="s">
        <v>268</v>
      </c>
      <c r="H185" s="16" t="s">
        <v>764</v>
      </c>
      <c r="I185" s="16" t="s">
        <v>394</v>
      </c>
    </row>
    <row r="186" spans="1:9" x14ac:dyDescent="0.3">
      <c r="A186" s="12" t="s">
        <v>3115</v>
      </c>
      <c r="B186" s="12" t="s">
        <v>578</v>
      </c>
      <c r="C186" s="12" t="s">
        <v>1333</v>
      </c>
      <c r="D186" s="12" t="s">
        <v>1334</v>
      </c>
      <c r="E186" s="13" t="s">
        <v>1599</v>
      </c>
      <c r="F186" s="13" t="s">
        <v>1545</v>
      </c>
      <c r="G186" s="16" t="s">
        <v>269</v>
      </c>
      <c r="H186" s="16" t="s">
        <v>765</v>
      </c>
      <c r="I186" s="16" t="s">
        <v>395</v>
      </c>
    </row>
    <row r="187" spans="1:9" x14ac:dyDescent="0.3">
      <c r="A187" s="12" t="s">
        <v>3116</v>
      </c>
      <c r="B187" s="12" t="s">
        <v>578</v>
      </c>
      <c r="C187" s="12" t="s">
        <v>1335</v>
      </c>
      <c r="D187" s="12" t="s">
        <v>1591</v>
      </c>
      <c r="E187" s="13" t="s">
        <v>1589</v>
      </c>
      <c r="F187" s="13" t="s">
        <v>1546</v>
      </c>
      <c r="G187" s="16" t="s">
        <v>270</v>
      </c>
      <c r="H187" s="16" t="s">
        <v>766</v>
      </c>
      <c r="I187" s="16" t="s">
        <v>396</v>
      </c>
    </row>
    <row r="188" spans="1:9" x14ac:dyDescent="0.3">
      <c r="A188" s="12" t="s">
        <v>3117</v>
      </c>
      <c r="B188" s="12" t="s">
        <v>578</v>
      </c>
      <c r="C188" s="12" t="s">
        <v>1336</v>
      </c>
      <c r="D188" s="12" t="s">
        <v>1590</v>
      </c>
      <c r="E188" s="13" t="s">
        <v>1589</v>
      </c>
      <c r="F188" s="13" t="s">
        <v>1547</v>
      </c>
      <c r="G188" s="16" t="s">
        <v>271</v>
      </c>
      <c r="H188" s="16" t="s">
        <v>767</v>
      </c>
      <c r="I188" s="16" t="s">
        <v>397</v>
      </c>
    </row>
    <row r="189" spans="1:9" x14ac:dyDescent="0.3">
      <c r="A189" s="12" t="s">
        <v>3118</v>
      </c>
      <c r="B189" s="12" t="s">
        <v>578</v>
      </c>
      <c r="C189" s="12" t="s">
        <v>1337</v>
      </c>
      <c r="D189" s="12" t="s">
        <v>1177</v>
      </c>
      <c r="E189" s="13" t="s">
        <v>1589</v>
      </c>
      <c r="F189" s="13" t="s">
        <v>1486</v>
      </c>
      <c r="G189" s="16" t="s">
        <v>272</v>
      </c>
      <c r="H189" s="16" t="s">
        <v>768</v>
      </c>
      <c r="I189" s="16" t="s">
        <v>398</v>
      </c>
    </row>
    <row r="190" spans="1:9" x14ac:dyDescent="0.3">
      <c r="A190" s="12" t="s">
        <v>3119</v>
      </c>
      <c r="B190" s="12" t="s">
        <v>578</v>
      </c>
      <c r="C190" s="12" t="s">
        <v>1338</v>
      </c>
      <c r="D190" s="12" t="s">
        <v>1590</v>
      </c>
      <c r="E190" s="13" t="s">
        <v>1589</v>
      </c>
      <c r="F190" s="13" t="s">
        <v>1548</v>
      </c>
      <c r="G190" s="16" t="s">
        <v>273</v>
      </c>
      <c r="H190" s="16" t="s">
        <v>769</v>
      </c>
      <c r="I190" s="16" t="s">
        <v>399</v>
      </c>
    </row>
    <row r="191" spans="1:9" x14ac:dyDescent="0.3">
      <c r="A191" s="12" t="s">
        <v>3120</v>
      </c>
      <c r="B191" s="12" t="s">
        <v>578</v>
      </c>
      <c r="C191" s="12" t="s">
        <v>1339</v>
      </c>
      <c r="D191" s="12" t="s">
        <v>1590</v>
      </c>
      <c r="E191" s="13" t="s">
        <v>1589</v>
      </c>
      <c r="F191" s="13" t="s">
        <v>1549</v>
      </c>
      <c r="G191" s="16" t="s">
        <v>274</v>
      </c>
      <c r="H191" s="16" t="s">
        <v>770</v>
      </c>
      <c r="I191" s="16" t="s">
        <v>400</v>
      </c>
    </row>
    <row r="192" spans="1:9" x14ac:dyDescent="0.3">
      <c r="A192" s="12" t="s">
        <v>3121</v>
      </c>
      <c r="B192" s="12" t="s">
        <v>578</v>
      </c>
      <c r="C192" s="12" t="s">
        <v>1340</v>
      </c>
      <c r="D192" s="12" t="s">
        <v>1590</v>
      </c>
      <c r="E192" s="13" t="s">
        <v>1597</v>
      </c>
      <c r="F192" s="13" t="s">
        <v>1550</v>
      </c>
      <c r="G192" s="16" t="s">
        <v>275</v>
      </c>
      <c r="H192" s="16" t="s">
        <v>771</v>
      </c>
      <c r="I192" s="16" t="s">
        <v>401</v>
      </c>
    </row>
    <row r="193" spans="1:9" x14ac:dyDescent="0.3">
      <c r="A193" s="12" t="s">
        <v>3122</v>
      </c>
      <c r="B193" s="12" t="s">
        <v>578</v>
      </c>
      <c r="C193" s="12" t="s">
        <v>1341</v>
      </c>
      <c r="D193" s="12" t="s">
        <v>1591</v>
      </c>
      <c r="E193" s="13" t="s">
        <v>1589</v>
      </c>
      <c r="F193" s="13" t="s">
        <v>1551</v>
      </c>
      <c r="G193" s="16" t="s">
        <v>276</v>
      </c>
      <c r="H193" s="16" t="s">
        <v>772</v>
      </c>
      <c r="I193" s="16" t="s">
        <v>402</v>
      </c>
    </row>
    <row r="194" spans="1:9" x14ac:dyDescent="0.3">
      <c r="A194" s="12" t="s">
        <v>3123</v>
      </c>
      <c r="B194" s="12" t="s">
        <v>578</v>
      </c>
      <c r="C194" s="12" t="s">
        <v>1342</v>
      </c>
      <c r="D194" s="12" t="s">
        <v>1591</v>
      </c>
      <c r="E194" s="13" t="s">
        <v>1589</v>
      </c>
      <c r="F194" s="13" t="s">
        <v>1552</v>
      </c>
      <c r="G194" s="16" t="s">
        <v>277</v>
      </c>
      <c r="H194" s="16" t="s">
        <v>773</v>
      </c>
      <c r="I194" s="16" t="s">
        <v>403</v>
      </c>
    </row>
    <row r="195" spans="1:9" x14ac:dyDescent="0.3">
      <c r="A195" s="12" t="s">
        <v>3124</v>
      </c>
      <c r="B195" s="12" t="s">
        <v>578</v>
      </c>
      <c r="C195" s="12" t="s">
        <v>1342</v>
      </c>
      <c r="D195" s="12" t="s">
        <v>1591</v>
      </c>
      <c r="E195" s="13" t="s">
        <v>1589</v>
      </c>
      <c r="F195" s="13" t="s">
        <v>1553</v>
      </c>
      <c r="G195" s="16" t="s">
        <v>278</v>
      </c>
      <c r="H195" s="16" t="s">
        <v>774</v>
      </c>
      <c r="I195" s="16" t="s">
        <v>404</v>
      </c>
    </row>
    <row r="196" spans="1:9" x14ac:dyDescent="0.3">
      <c r="A196" s="12" t="s">
        <v>3125</v>
      </c>
      <c r="B196" s="12" t="s">
        <v>578</v>
      </c>
      <c r="C196" s="12" t="s">
        <v>1343</v>
      </c>
      <c r="D196" s="12" t="s">
        <v>1590</v>
      </c>
      <c r="E196" s="13" t="s">
        <v>1589</v>
      </c>
      <c r="F196" s="13" t="s">
        <v>1554</v>
      </c>
      <c r="G196" s="16" t="s">
        <v>279</v>
      </c>
      <c r="H196" s="16" t="s">
        <v>775</v>
      </c>
      <c r="I196" s="16" t="s">
        <v>405</v>
      </c>
    </row>
    <row r="197" spans="1:9" x14ac:dyDescent="0.3">
      <c r="A197" s="12" t="s">
        <v>3126</v>
      </c>
      <c r="B197" s="12" t="s">
        <v>578</v>
      </c>
      <c r="C197" s="12" t="s">
        <v>1344</v>
      </c>
      <c r="D197" s="12" t="s">
        <v>1591</v>
      </c>
      <c r="E197" s="13" t="s">
        <v>1589</v>
      </c>
      <c r="F197" s="13" t="s">
        <v>1486</v>
      </c>
      <c r="G197" s="16" t="s">
        <v>280</v>
      </c>
      <c r="H197" s="16" t="s">
        <v>776</v>
      </c>
      <c r="I197" s="16" t="s">
        <v>406</v>
      </c>
    </row>
    <row r="198" spans="1:9" x14ac:dyDescent="0.3">
      <c r="A198" s="12" t="s">
        <v>3127</v>
      </c>
      <c r="B198" s="12" t="s">
        <v>578</v>
      </c>
      <c r="C198" s="12" t="s">
        <v>1345</v>
      </c>
      <c r="D198" s="12" t="s">
        <v>1590</v>
      </c>
      <c r="E198" s="13" t="s">
        <v>1596</v>
      </c>
      <c r="F198" s="13" t="s">
        <v>1555</v>
      </c>
      <c r="G198" s="16" t="s">
        <v>281</v>
      </c>
      <c r="H198" s="16" t="s">
        <v>777</v>
      </c>
      <c r="I198" s="16" t="s">
        <v>407</v>
      </c>
    </row>
    <row r="199" spans="1:9" x14ac:dyDescent="0.3">
      <c r="A199" s="12" t="s">
        <v>3128</v>
      </c>
      <c r="B199" s="12" t="s">
        <v>578</v>
      </c>
      <c r="C199" s="12" t="s">
        <v>1346</v>
      </c>
      <c r="D199" s="12" t="s">
        <v>1590</v>
      </c>
      <c r="E199" s="13" t="s">
        <v>1597</v>
      </c>
      <c r="F199" s="13" t="s">
        <v>1556</v>
      </c>
      <c r="G199" s="16" t="s">
        <v>282</v>
      </c>
      <c r="H199" s="16" t="s">
        <v>778</v>
      </c>
      <c r="I199" s="16" t="s">
        <v>408</v>
      </c>
    </row>
    <row r="200" spans="1:9" x14ac:dyDescent="0.3">
      <c r="A200" s="12" t="s">
        <v>3129</v>
      </c>
      <c r="B200" s="12" t="s">
        <v>578</v>
      </c>
      <c r="C200" s="12" t="s">
        <v>1347</v>
      </c>
      <c r="D200" s="12" t="s">
        <v>1591</v>
      </c>
      <c r="E200" s="13" t="s">
        <v>1597</v>
      </c>
      <c r="F200" s="13" t="s">
        <v>1557</v>
      </c>
      <c r="G200" s="16" t="s">
        <v>283</v>
      </c>
      <c r="H200" s="16" t="s">
        <v>779</v>
      </c>
      <c r="I200" s="16" t="s">
        <v>409</v>
      </c>
    </row>
    <row r="201" spans="1:9" x14ac:dyDescent="0.3">
      <c r="A201" s="12" t="s">
        <v>3130</v>
      </c>
      <c r="B201" s="12" t="s">
        <v>578</v>
      </c>
      <c r="C201" s="12" t="s">
        <v>1347</v>
      </c>
      <c r="D201" s="12" t="s">
        <v>1591</v>
      </c>
      <c r="E201" s="13" t="s">
        <v>1589</v>
      </c>
      <c r="F201" s="13" t="s">
        <v>1558</v>
      </c>
      <c r="G201" s="16" t="s">
        <v>284</v>
      </c>
      <c r="H201" s="16" t="s">
        <v>780</v>
      </c>
      <c r="I201" s="16" t="s">
        <v>410</v>
      </c>
    </row>
    <row r="202" spans="1:9" x14ac:dyDescent="0.3">
      <c r="A202" s="12" t="s">
        <v>3131</v>
      </c>
      <c r="B202" s="12" t="s">
        <v>578</v>
      </c>
      <c r="C202" s="12" t="s">
        <v>1348</v>
      </c>
      <c r="D202" s="12" t="s">
        <v>1590</v>
      </c>
      <c r="E202" s="13" t="s">
        <v>1597</v>
      </c>
      <c r="F202" s="13" t="s">
        <v>1559</v>
      </c>
      <c r="G202" s="16" t="s">
        <v>286</v>
      </c>
      <c r="H202" s="16" t="s">
        <v>781</v>
      </c>
      <c r="I202" s="16" t="s">
        <v>411</v>
      </c>
    </row>
    <row r="203" spans="1:9" x14ac:dyDescent="0.3">
      <c r="A203" s="12" t="s">
        <v>3132</v>
      </c>
      <c r="B203" s="12" t="s">
        <v>578</v>
      </c>
      <c r="C203" s="12" t="s">
        <v>1349</v>
      </c>
      <c r="D203" s="12" t="s">
        <v>1591</v>
      </c>
      <c r="E203" s="13" t="s">
        <v>1597</v>
      </c>
      <c r="F203" s="13" t="s">
        <v>1560</v>
      </c>
      <c r="G203" s="16" t="s">
        <v>287</v>
      </c>
      <c r="H203" s="16" t="s">
        <v>782</v>
      </c>
      <c r="I203" s="16" t="s">
        <v>412</v>
      </c>
    </row>
    <row r="204" spans="1:9" x14ac:dyDescent="0.3">
      <c r="A204" s="12" t="s">
        <v>3133</v>
      </c>
      <c r="B204" s="12" t="s">
        <v>578</v>
      </c>
      <c r="C204" s="12" t="s">
        <v>1350</v>
      </c>
      <c r="D204" s="12" t="s">
        <v>1177</v>
      </c>
      <c r="E204" s="13" t="s">
        <v>1597</v>
      </c>
      <c r="F204" s="13" t="s">
        <v>1561</v>
      </c>
      <c r="G204" s="16" t="s">
        <v>288</v>
      </c>
      <c r="H204" s="16" t="s">
        <v>783</v>
      </c>
      <c r="I204" s="16" t="s">
        <v>413</v>
      </c>
    </row>
    <row r="205" spans="1:9" x14ac:dyDescent="0.3">
      <c r="A205" s="12" t="s">
        <v>3134</v>
      </c>
      <c r="B205" s="12" t="s">
        <v>578</v>
      </c>
      <c r="C205" s="12" t="s">
        <v>1351</v>
      </c>
      <c r="D205" s="12" t="s">
        <v>1590</v>
      </c>
      <c r="E205" s="13" t="s">
        <v>1589</v>
      </c>
      <c r="F205" s="13" t="s">
        <v>1562</v>
      </c>
      <c r="G205" s="16" t="s">
        <v>289</v>
      </c>
      <c r="H205" s="16" t="s">
        <v>785</v>
      </c>
      <c r="I205" s="16" t="s">
        <v>414</v>
      </c>
    </row>
    <row r="206" spans="1:9" x14ac:dyDescent="0.3">
      <c r="A206" s="12" t="s">
        <v>3135</v>
      </c>
      <c r="B206" s="12" t="s">
        <v>578</v>
      </c>
      <c r="C206" s="12" t="s">
        <v>1352</v>
      </c>
      <c r="D206" s="12" t="s">
        <v>1591</v>
      </c>
      <c r="E206" s="13" t="s">
        <v>1589</v>
      </c>
      <c r="F206" s="13" t="s">
        <v>1563</v>
      </c>
      <c r="G206" s="16" t="s">
        <v>290</v>
      </c>
      <c r="H206" s="16" t="s">
        <v>786</v>
      </c>
      <c r="I206" s="16" t="s">
        <v>415</v>
      </c>
    </row>
    <row r="207" spans="1:9" x14ac:dyDescent="0.3">
      <c r="A207" s="12" t="s">
        <v>3136</v>
      </c>
      <c r="B207" s="12" t="s">
        <v>578</v>
      </c>
      <c r="C207" s="12" t="s">
        <v>1353</v>
      </c>
      <c r="D207" s="12" t="s">
        <v>1591</v>
      </c>
      <c r="E207" s="13" t="s">
        <v>1589</v>
      </c>
      <c r="F207" s="13" t="s">
        <v>1564</v>
      </c>
      <c r="G207" s="16" t="s">
        <v>291</v>
      </c>
      <c r="H207" s="16" t="s">
        <v>787</v>
      </c>
      <c r="I207" s="16" t="s">
        <v>416</v>
      </c>
    </row>
    <row r="208" spans="1:9" x14ac:dyDescent="0.3">
      <c r="A208" s="12" t="s">
        <v>3137</v>
      </c>
      <c r="B208" s="12" t="s">
        <v>578</v>
      </c>
      <c r="C208" s="12" t="s">
        <v>1354</v>
      </c>
      <c r="D208" s="12" t="s">
        <v>1590</v>
      </c>
      <c r="E208" s="13" t="s">
        <v>1589</v>
      </c>
      <c r="F208" s="13" t="s">
        <v>1565</v>
      </c>
      <c r="G208" s="16" t="s">
        <v>292</v>
      </c>
      <c r="H208" s="16" t="s">
        <v>788</v>
      </c>
      <c r="I208" s="16" t="s">
        <v>417</v>
      </c>
    </row>
    <row r="209" spans="1:9" x14ac:dyDescent="0.3">
      <c r="A209" s="12" t="s">
        <v>3138</v>
      </c>
      <c r="B209" s="12" t="s">
        <v>578</v>
      </c>
      <c r="C209" s="12" t="s">
        <v>1355</v>
      </c>
      <c r="D209" s="12" t="s">
        <v>1165</v>
      </c>
      <c r="E209" s="13" t="s">
        <v>1596</v>
      </c>
      <c r="F209" s="13" t="s">
        <v>1566</v>
      </c>
      <c r="G209" s="16" t="s">
        <v>293</v>
      </c>
      <c r="H209" s="16" t="s">
        <v>789</v>
      </c>
      <c r="I209" s="16" t="s">
        <v>473</v>
      </c>
    </row>
    <row r="210" spans="1:9" x14ac:dyDescent="0.3">
      <c r="A210" s="12" t="s">
        <v>3139</v>
      </c>
      <c r="B210" s="12" t="s">
        <v>578</v>
      </c>
      <c r="C210" s="14">
        <v>1209</v>
      </c>
      <c r="D210" s="12" t="s">
        <v>1591</v>
      </c>
      <c r="E210" s="13" t="s">
        <v>1589</v>
      </c>
      <c r="F210" s="13" t="s">
        <v>1595</v>
      </c>
      <c r="G210" s="16" t="s">
        <v>1593</v>
      </c>
      <c r="H210" s="16" t="s">
        <v>1592</v>
      </c>
      <c r="I210" s="16" t="s">
        <v>1594</v>
      </c>
    </row>
    <row r="211" spans="1:9" x14ac:dyDescent="0.3">
      <c r="A211" s="12" t="s">
        <v>3140</v>
      </c>
      <c r="B211" s="12" t="s">
        <v>578</v>
      </c>
      <c r="C211" s="12" t="s">
        <v>1356</v>
      </c>
      <c r="D211" s="12" t="s">
        <v>1591</v>
      </c>
      <c r="E211" s="13" t="s">
        <v>1596</v>
      </c>
      <c r="F211" s="13" t="s">
        <v>1402</v>
      </c>
      <c r="G211" s="16" t="s">
        <v>450</v>
      </c>
      <c r="H211" s="16" t="s">
        <v>1149</v>
      </c>
      <c r="I211" s="16" t="s">
        <v>457</v>
      </c>
    </row>
    <row r="212" spans="1:9" x14ac:dyDescent="0.3">
      <c r="A212" s="12" t="s">
        <v>3141</v>
      </c>
      <c r="B212" s="12" t="s">
        <v>578</v>
      </c>
      <c r="C212" s="12" t="s">
        <v>1357</v>
      </c>
      <c r="D212" s="12" t="s">
        <v>1591</v>
      </c>
      <c r="E212" s="13" t="s">
        <v>1589</v>
      </c>
      <c r="F212" s="13" t="s">
        <v>1567</v>
      </c>
      <c r="G212" s="16" t="s">
        <v>294</v>
      </c>
      <c r="H212" s="16" t="s">
        <v>790</v>
      </c>
      <c r="I212" s="16" t="s">
        <v>419</v>
      </c>
    </row>
    <row r="213" spans="1:9" x14ac:dyDescent="0.3">
      <c r="A213" s="12" t="s">
        <v>3142</v>
      </c>
      <c r="B213" s="12" t="s">
        <v>578</v>
      </c>
      <c r="C213" s="12" t="s">
        <v>1358</v>
      </c>
      <c r="D213" s="12" t="s">
        <v>1591</v>
      </c>
      <c r="E213" s="13" t="s">
        <v>1596</v>
      </c>
      <c r="F213" s="13" t="s">
        <v>1402</v>
      </c>
      <c r="G213" s="16" t="s">
        <v>431</v>
      </c>
      <c r="H213" s="16" t="s">
        <v>791</v>
      </c>
      <c r="I213" s="16" t="s">
        <v>420</v>
      </c>
    </row>
    <row r="214" spans="1:9" x14ac:dyDescent="0.3">
      <c r="A214" s="12" t="s">
        <v>3143</v>
      </c>
      <c r="B214" s="12" t="s">
        <v>578</v>
      </c>
      <c r="C214" s="12" t="s">
        <v>1359</v>
      </c>
      <c r="D214" s="12" t="s">
        <v>1590</v>
      </c>
      <c r="E214" s="13" t="s">
        <v>1589</v>
      </c>
      <c r="F214" s="13" t="s">
        <v>1568</v>
      </c>
      <c r="G214" s="16" t="s">
        <v>295</v>
      </c>
      <c r="H214" s="16" t="s">
        <v>792</v>
      </c>
      <c r="I214" s="16" t="s">
        <v>421</v>
      </c>
    </row>
    <row r="215" spans="1:9" x14ac:dyDescent="0.3">
      <c r="A215" s="12" t="s">
        <v>3144</v>
      </c>
      <c r="B215" s="12" t="s">
        <v>578</v>
      </c>
      <c r="C215" s="12" t="s">
        <v>1360</v>
      </c>
      <c r="D215" s="12" t="s">
        <v>1590</v>
      </c>
      <c r="E215" s="13" t="s">
        <v>1589</v>
      </c>
      <c r="F215" s="13" t="s">
        <v>1569</v>
      </c>
      <c r="G215" s="16" t="s">
        <v>296</v>
      </c>
      <c r="H215" s="16" t="s">
        <v>793</v>
      </c>
      <c r="I215" s="16" t="s">
        <v>422</v>
      </c>
    </row>
    <row r="216" spans="1:9" x14ac:dyDescent="0.3">
      <c r="A216" s="12" t="s">
        <v>3145</v>
      </c>
      <c r="B216" s="12" t="s">
        <v>578</v>
      </c>
      <c r="C216" s="12" t="s">
        <v>1361</v>
      </c>
      <c r="D216" s="12" t="s">
        <v>1362</v>
      </c>
      <c r="E216" s="13" t="s">
        <v>1600</v>
      </c>
      <c r="F216" s="13" t="s">
        <v>1570</v>
      </c>
      <c r="G216" s="16" t="s">
        <v>525</v>
      </c>
      <c r="H216" s="16" t="s">
        <v>794</v>
      </c>
      <c r="I216" s="16" t="s">
        <v>516</v>
      </c>
    </row>
    <row r="217" spans="1:9" x14ac:dyDescent="0.3">
      <c r="A217" s="12" t="s">
        <v>3146</v>
      </c>
      <c r="B217" s="12" t="s">
        <v>578</v>
      </c>
      <c r="C217" s="12" t="s">
        <v>1363</v>
      </c>
      <c r="D217" s="12" t="s">
        <v>1362</v>
      </c>
      <c r="E217" s="13" t="s">
        <v>1600</v>
      </c>
      <c r="F217" s="13" t="s">
        <v>1571</v>
      </c>
      <c r="G217" s="16" t="s">
        <v>526</v>
      </c>
      <c r="H217" s="16" t="s">
        <v>795</v>
      </c>
      <c r="I217" s="16" t="s">
        <v>517</v>
      </c>
    </row>
    <row r="218" spans="1:9" x14ac:dyDescent="0.3">
      <c r="A218" s="12" t="s">
        <v>3147</v>
      </c>
      <c r="B218" s="12" t="s">
        <v>578</v>
      </c>
      <c r="C218" s="12" t="s">
        <v>1364</v>
      </c>
      <c r="D218" s="12" t="s">
        <v>1362</v>
      </c>
      <c r="E218" s="13" t="s">
        <v>1600</v>
      </c>
      <c r="F218" s="13" t="s">
        <v>1572</v>
      </c>
      <c r="G218" s="16" t="s">
        <v>527</v>
      </c>
      <c r="H218" s="16" t="s">
        <v>796</v>
      </c>
      <c r="I218" s="16" t="s">
        <v>518</v>
      </c>
    </row>
    <row r="219" spans="1:9" x14ac:dyDescent="0.3">
      <c r="A219" s="12" t="s">
        <v>3148</v>
      </c>
      <c r="B219" s="12" t="s">
        <v>578</v>
      </c>
      <c r="C219" s="12" t="s">
        <v>1365</v>
      </c>
      <c r="D219" s="12" t="s">
        <v>1362</v>
      </c>
      <c r="E219" s="13" t="s">
        <v>1600</v>
      </c>
      <c r="F219" s="13" t="s">
        <v>1573</v>
      </c>
      <c r="G219" s="16" t="s">
        <v>528</v>
      </c>
      <c r="H219" s="16" t="s">
        <v>797</v>
      </c>
      <c r="I219" s="16" t="s">
        <v>519</v>
      </c>
    </row>
    <row r="220" spans="1:9" x14ac:dyDescent="0.3">
      <c r="A220" s="12" t="s">
        <v>3149</v>
      </c>
      <c r="B220" s="12" t="s">
        <v>578</v>
      </c>
      <c r="C220" s="12" t="s">
        <v>1366</v>
      </c>
      <c r="D220" s="12" t="s">
        <v>1362</v>
      </c>
      <c r="E220" s="13" t="s">
        <v>1600</v>
      </c>
      <c r="F220" s="13" t="s">
        <v>1574</v>
      </c>
      <c r="G220" s="16" t="s">
        <v>531</v>
      </c>
      <c r="H220" s="16" t="s">
        <v>798</v>
      </c>
      <c r="I220" s="16" t="s">
        <v>520</v>
      </c>
    </row>
    <row r="221" spans="1:9" x14ac:dyDescent="0.3">
      <c r="A221" s="12" t="s">
        <v>3150</v>
      </c>
      <c r="B221" s="12" t="s">
        <v>578</v>
      </c>
      <c r="C221" s="12" t="s">
        <v>1366</v>
      </c>
      <c r="D221" s="12" t="s">
        <v>1591</v>
      </c>
      <c r="E221" s="13" t="s">
        <v>1589</v>
      </c>
      <c r="F221" s="13" t="s">
        <v>1575</v>
      </c>
      <c r="G221" s="16" t="s">
        <v>297</v>
      </c>
      <c r="H221" s="16" t="s">
        <v>802</v>
      </c>
      <c r="I221" s="16" t="s">
        <v>423</v>
      </c>
    </row>
    <row r="222" spans="1:9" x14ac:dyDescent="0.3">
      <c r="A222" s="12" t="s">
        <v>3151</v>
      </c>
      <c r="B222" s="12" t="s">
        <v>578</v>
      </c>
      <c r="C222" s="12" t="s">
        <v>1367</v>
      </c>
      <c r="D222" s="12" t="s">
        <v>1362</v>
      </c>
      <c r="E222" s="13" t="s">
        <v>1600</v>
      </c>
      <c r="F222" s="13" t="s">
        <v>1576</v>
      </c>
      <c r="G222" s="16" t="s">
        <v>529</v>
      </c>
      <c r="H222" s="16" t="s">
        <v>799</v>
      </c>
      <c r="I222" s="16" t="s">
        <v>521</v>
      </c>
    </row>
    <row r="223" spans="1:9" x14ac:dyDescent="0.3">
      <c r="A223" s="12" t="s">
        <v>3152</v>
      </c>
      <c r="B223" s="12" t="s">
        <v>578</v>
      </c>
      <c r="C223" s="12" t="s">
        <v>1368</v>
      </c>
      <c r="D223" s="12" t="s">
        <v>1362</v>
      </c>
      <c r="E223" s="13" t="s">
        <v>1600</v>
      </c>
      <c r="F223" s="13" t="s">
        <v>1577</v>
      </c>
      <c r="G223" s="16" t="s">
        <v>532</v>
      </c>
      <c r="H223" s="16" t="s">
        <v>800</v>
      </c>
      <c r="I223" s="16" t="s">
        <v>522</v>
      </c>
    </row>
    <row r="224" spans="1:9" x14ac:dyDescent="0.3">
      <c r="A224" s="12" t="s">
        <v>3153</v>
      </c>
      <c r="B224" s="12" t="s">
        <v>578</v>
      </c>
      <c r="C224" s="12" t="s">
        <v>1368</v>
      </c>
      <c r="D224" s="12" t="s">
        <v>1591</v>
      </c>
      <c r="E224" s="13" t="s">
        <v>1589</v>
      </c>
      <c r="F224" s="13" t="s">
        <v>1578</v>
      </c>
      <c r="G224" s="16" t="s">
        <v>298</v>
      </c>
      <c r="H224" s="16" t="s">
        <v>803</v>
      </c>
      <c r="I224" s="16" t="s">
        <v>424</v>
      </c>
    </row>
    <row r="225" spans="1:9" x14ac:dyDescent="0.3">
      <c r="A225" s="12" t="s">
        <v>3154</v>
      </c>
      <c r="B225" s="12" t="s">
        <v>578</v>
      </c>
      <c r="C225" s="12" t="s">
        <v>1369</v>
      </c>
      <c r="D225" s="12" t="s">
        <v>1362</v>
      </c>
      <c r="E225" s="13" t="s">
        <v>1600</v>
      </c>
      <c r="F225" s="13" t="s">
        <v>1579</v>
      </c>
      <c r="G225" s="16" t="s">
        <v>530</v>
      </c>
      <c r="H225" s="16" t="s">
        <v>801</v>
      </c>
      <c r="I225" s="16" t="s">
        <v>523</v>
      </c>
    </row>
    <row r="226" spans="1:9" x14ac:dyDescent="0.3">
      <c r="A226" s="12" t="s">
        <v>3155</v>
      </c>
      <c r="B226" s="12" t="s">
        <v>578</v>
      </c>
      <c r="C226" s="12" t="s">
        <v>1370</v>
      </c>
      <c r="D226" s="12" t="s">
        <v>1168</v>
      </c>
      <c r="E226" s="13" t="s">
        <v>1589</v>
      </c>
      <c r="F226" s="13" t="s">
        <v>1580</v>
      </c>
      <c r="G226" s="16" t="s">
        <v>299</v>
      </c>
      <c r="H226" s="16" t="s">
        <v>804</v>
      </c>
      <c r="I226" s="16" t="s">
        <v>425</v>
      </c>
    </row>
    <row r="227" spans="1:9" x14ac:dyDescent="0.3">
      <c r="A227" s="12" t="s">
        <v>3156</v>
      </c>
      <c r="B227" s="12" t="s">
        <v>578</v>
      </c>
      <c r="C227" s="12" t="s">
        <v>1371</v>
      </c>
      <c r="D227" s="12" t="s">
        <v>1177</v>
      </c>
      <c r="E227" s="13" t="s">
        <v>1597</v>
      </c>
      <c r="F227" s="13" t="s">
        <v>1581</v>
      </c>
      <c r="G227" s="16" t="s">
        <v>300</v>
      </c>
      <c r="H227" s="16" t="s">
        <v>805</v>
      </c>
      <c r="I227" s="16" t="s">
        <v>426</v>
      </c>
    </row>
    <row r="228" spans="1:9" x14ac:dyDescent="0.3">
      <c r="A228" s="12" t="s">
        <v>3157</v>
      </c>
      <c r="B228" s="12" t="s">
        <v>578</v>
      </c>
      <c r="C228" s="12" t="s">
        <v>1372</v>
      </c>
      <c r="D228" s="12" t="s">
        <v>1177</v>
      </c>
      <c r="E228" s="13" t="s">
        <v>1589</v>
      </c>
      <c r="F228" s="13" t="s">
        <v>1582</v>
      </c>
      <c r="G228" s="16" t="s">
        <v>301</v>
      </c>
      <c r="H228" s="16" t="s">
        <v>806</v>
      </c>
      <c r="I228" s="16" t="s">
        <v>427</v>
      </c>
    </row>
    <row r="229" spans="1:9" x14ac:dyDescent="0.3">
      <c r="A229" s="12" t="s">
        <v>3158</v>
      </c>
      <c r="B229" s="12" t="s">
        <v>578</v>
      </c>
      <c r="C229" s="12" t="s">
        <v>1373</v>
      </c>
      <c r="D229" s="12" t="s">
        <v>1177</v>
      </c>
      <c r="E229" s="13" t="s">
        <v>1597</v>
      </c>
      <c r="F229" s="13" t="s">
        <v>1583</v>
      </c>
      <c r="G229" s="16" t="s">
        <v>302</v>
      </c>
      <c r="H229" s="16" t="s">
        <v>807</v>
      </c>
      <c r="I229" s="16" t="s">
        <v>428</v>
      </c>
    </row>
    <row r="230" spans="1:9" x14ac:dyDescent="0.3">
      <c r="A230" s="12" t="s">
        <v>3159</v>
      </c>
      <c r="B230" s="12" t="s">
        <v>578</v>
      </c>
      <c r="C230" s="12" t="s">
        <v>1374</v>
      </c>
      <c r="D230" s="12" t="s">
        <v>1375</v>
      </c>
      <c r="E230" s="13" t="s">
        <v>1589</v>
      </c>
      <c r="F230" s="13" t="s">
        <v>1584</v>
      </c>
      <c r="G230" s="16" t="s">
        <v>470</v>
      </c>
      <c r="H230" s="16" t="s">
        <v>811</v>
      </c>
      <c r="I230" s="16" t="s">
        <v>464</v>
      </c>
    </row>
    <row r="231" spans="1:9" x14ac:dyDescent="0.3">
      <c r="A231" s="12" t="s">
        <v>3160</v>
      </c>
      <c r="B231" s="12" t="s">
        <v>578</v>
      </c>
      <c r="C231" s="12" t="s">
        <v>1374</v>
      </c>
      <c r="D231" s="12" t="s">
        <v>1591</v>
      </c>
      <c r="E231" s="13" t="s">
        <v>1597</v>
      </c>
      <c r="F231" s="13" t="s">
        <v>1585</v>
      </c>
      <c r="G231" s="16" t="s">
        <v>303</v>
      </c>
      <c r="H231" s="16" t="s">
        <v>808</v>
      </c>
      <c r="I231" s="16" t="s">
        <v>429</v>
      </c>
    </row>
    <row r="232" spans="1:9" x14ac:dyDescent="0.3">
      <c r="A232" s="12" t="s">
        <v>3161</v>
      </c>
      <c r="B232" s="12" t="s">
        <v>578</v>
      </c>
      <c r="C232" s="12" t="s">
        <v>1376</v>
      </c>
      <c r="D232" s="12" t="s">
        <v>1375</v>
      </c>
      <c r="E232" s="13" t="s">
        <v>1589</v>
      </c>
      <c r="F232" s="13" t="s">
        <v>1586</v>
      </c>
      <c r="G232" s="16" t="s">
        <v>468</v>
      </c>
      <c r="H232" s="16" t="s">
        <v>812</v>
      </c>
      <c r="I232" s="16" t="s">
        <v>465</v>
      </c>
    </row>
    <row r="233" spans="1:9" x14ac:dyDescent="0.3">
      <c r="A233" s="12" t="s">
        <v>3162</v>
      </c>
      <c r="B233" s="12" t="s">
        <v>578</v>
      </c>
      <c r="C233" s="12" t="s">
        <v>1377</v>
      </c>
      <c r="D233" s="12" t="s">
        <v>1375</v>
      </c>
      <c r="E233" s="13" t="s">
        <v>1589</v>
      </c>
      <c r="F233" s="13" t="s">
        <v>1587</v>
      </c>
      <c r="G233" s="16" t="s">
        <v>469</v>
      </c>
      <c r="H233" s="16" t="s">
        <v>813</v>
      </c>
      <c r="I233" s="16" t="s">
        <v>466</v>
      </c>
    </row>
    <row r="234" spans="1:9" x14ac:dyDescent="0.3">
      <c r="A234" s="12" t="s">
        <v>3163</v>
      </c>
      <c r="B234" s="12" t="s">
        <v>578</v>
      </c>
      <c r="C234" s="12" t="s">
        <v>1377</v>
      </c>
      <c r="D234" s="12" t="s">
        <v>1591</v>
      </c>
      <c r="E234" s="13" t="s">
        <v>1589</v>
      </c>
      <c r="F234" s="13" t="s">
        <v>1588</v>
      </c>
      <c r="G234" s="16" t="s">
        <v>304</v>
      </c>
      <c r="H234" s="16" t="s">
        <v>809</v>
      </c>
      <c r="I234" s="16" t="s">
        <v>430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F846D-3D96-4B92-AE14-850584002A88}">
  <dimension ref="A1:J380"/>
  <sheetViews>
    <sheetView zoomScale="70" zoomScaleNormal="70" workbookViewId="0">
      <selection activeCell="G386" sqref="G386"/>
    </sheetView>
  </sheetViews>
  <sheetFormatPr defaultRowHeight="14.4" x14ac:dyDescent="0.3"/>
  <cols>
    <col min="1" max="1" width="29.6640625" style="12" bestFit="1" customWidth="1"/>
    <col min="2" max="2" width="8.6640625" style="12" bestFit="1" customWidth="1"/>
    <col min="3" max="3" width="11.21875" style="12" bestFit="1" customWidth="1"/>
    <col min="4" max="4" width="12.44140625" style="14" bestFit="1" customWidth="1"/>
    <col min="5" max="5" width="13.77734375" style="12" bestFit="1" customWidth="1"/>
    <col min="6" max="6" width="10" style="13" bestFit="1" customWidth="1"/>
    <col min="7" max="7" width="52" style="15" bestFit="1" customWidth="1"/>
    <col min="8" max="8" width="62.44140625" style="15" bestFit="1" customWidth="1"/>
    <col min="9" max="9" width="63" style="15" bestFit="1" customWidth="1"/>
    <col min="10" max="16384" width="8.88671875" style="15"/>
  </cols>
  <sheetData>
    <row r="1" spans="1:9" x14ac:dyDescent="0.3">
      <c r="A1" s="12" t="s">
        <v>1</v>
      </c>
    </row>
    <row r="2" spans="1:9" x14ac:dyDescent="0.3">
      <c r="C2" s="12" t="s">
        <v>1162</v>
      </c>
    </row>
    <row r="3" spans="1:9" x14ac:dyDescent="0.3">
      <c r="A3" s="12" t="s">
        <v>1156</v>
      </c>
      <c r="B3" s="12" t="s">
        <v>1157</v>
      </c>
      <c r="C3" s="12" t="s">
        <v>1158</v>
      </c>
      <c r="D3" s="14" t="s">
        <v>1159</v>
      </c>
      <c r="E3" s="12" t="s">
        <v>1160</v>
      </c>
      <c r="F3" s="13" t="s">
        <v>1161</v>
      </c>
      <c r="G3" s="15" t="s">
        <v>583</v>
      </c>
      <c r="H3" s="15" t="s">
        <v>584</v>
      </c>
      <c r="I3" s="15" t="s">
        <v>585</v>
      </c>
    </row>
    <row r="4" spans="1:9" x14ac:dyDescent="0.3">
      <c r="A4" s="12" t="s">
        <v>3164</v>
      </c>
      <c r="B4" s="12" t="s">
        <v>865</v>
      </c>
      <c r="C4" s="12" t="s">
        <v>869</v>
      </c>
      <c r="D4" s="14" t="s">
        <v>1622</v>
      </c>
      <c r="E4" s="12" t="s">
        <v>1600</v>
      </c>
      <c r="F4" s="13" t="s">
        <v>1605</v>
      </c>
      <c r="G4" s="15" t="s">
        <v>2216</v>
      </c>
      <c r="H4" s="15" t="s">
        <v>2576</v>
      </c>
      <c r="I4" s="15" t="s">
        <v>1607</v>
      </c>
    </row>
    <row r="5" spans="1:9" x14ac:dyDescent="0.3">
      <c r="A5" s="12" t="s">
        <v>3165</v>
      </c>
      <c r="B5" s="12" t="s">
        <v>865</v>
      </c>
      <c r="C5" s="12" t="s">
        <v>869</v>
      </c>
      <c r="D5" s="14" t="s">
        <v>1626</v>
      </c>
      <c r="E5" s="12" t="s">
        <v>1600</v>
      </c>
      <c r="F5" s="13" t="s">
        <v>1615</v>
      </c>
      <c r="G5" s="15" t="s">
        <v>2215</v>
      </c>
      <c r="H5" s="15" t="s">
        <v>2580</v>
      </c>
      <c r="I5" s="15" t="s">
        <v>1608</v>
      </c>
    </row>
    <row r="6" spans="1:9" x14ac:dyDescent="0.3">
      <c r="A6" s="12" t="s">
        <v>3166</v>
      </c>
      <c r="B6" s="12" t="s">
        <v>865</v>
      </c>
      <c r="C6" s="12" t="s">
        <v>869</v>
      </c>
      <c r="D6" s="14" t="s">
        <v>1626</v>
      </c>
      <c r="E6" s="12" t="s">
        <v>1600</v>
      </c>
      <c r="F6" s="13" t="s">
        <v>1616</v>
      </c>
      <c r="G6" s="15" t="s">
        <v>2224</v>
      </c>
      <c r="H6" s="15" t="s">
        <v>2581</v>
      </c>
      <c r="I6" s="15" t="s">
        <v>1609</v>
      </c>
    </row>
    <row r="7" spans="1:9" x14ac:dyDescent="0.3">
      <c r="A7" s="12" t="s">
        <v>3167</v>
      </c>
      <c r="B7" s="12" t="s">
        <v>865</v>
      </c>
      <c r="C7" s="12" t="s">
        <v>869</v>
      </c>
      <c r="D7" s="14" t="s">
        <v>1626</v>
      </c>
      <c r="E7" s="12" t="s">
        <v>1600</v>
      </c>
      <c r="F7" s="13" t="s">
        <v>1617</v>
      </c>
      <c r="G7" s="15" t="s">
        <v>2225</v>
      </c>
      <c r="H7" s="15" t="s">
        <v>2582</v>
      </c>
      <c r="I7" s="15" t="s">
        <v>1861</v>
      </c>
    </row>
    <row r="8" spans="1:9" x14ac:dyDescent="0.3">
      <c r="A8" s="12" t="s">
        <v>3168</v>
      </c>
      <c r="B8" s="12" t="s">
        <v>865</v>
      </c>
      <c r="C8" s="12" t="s">
        <v>869</v>
      </c>
      <c r="D8" s="14" t="s">
        <v>1626</v>
      </c>
      <c r="E8" s="12" t="s">
        <v>1600</v>
      </c>
      <c r="F8" s="13" t="s">
        <v>1618</v>
      </c>
      <c r="G8" s="15" t="s">
        <v>2226</v>
      </c>
      <c r="H8" s="15" t="s">
        <v>2583</v>
      </c>
      <c r="I8" s="15" t="s">
        <v>1862</v>
      </c>
    </row>
    <row r="9" spans="1:9" x14ac:dyDescent="0.3">
      <c r="A9" s="12" t="s">
        <v>3169</v>
      </c>
      <c r="B9" s="12" t="s">
        <v>865</v>
      </c>
      <c r="C9" s="12" t="s">
        <v>869</v>
      </c>
      <c r="D9" s="14" t="s">
        <v>1626</v>
      </c>
      <c r="E9" s="12" t="s">
        <v>1600</v>
      </c>
      <c r="F9" s="13" t="s">
        <v>1619</v>
      </c>
      <c r="G9" s="15" t="s">
        <v>2227</v>
      </c>
      <c r="H9" s="15" t="s">
        <v>2584</v>
      </c>
      <c r="I9" s="15" t="s">
        <v>1863</v>
      </c>
    </row>
    <row r="10" spans="1:9" x14ac:dyDescent="0.3">
      <c r="A10" s="12" t="s">
        <v>3170</v>
      </c>
      <c r="B10" s="12" t="s">
        <v>865</v>
      </c>
      <c r="C10" s="12" t="s">
        <v>869</v>
      </c>
      <c r="D10" s="14" t="s">
        <v>1626</v>
      </c>
      <c r="E10" s="12" t="s">
        <v>1600</v>
      </c>
      <c r="F10" s="13" t="s">
        <v>1620</v>
      </c>
      <c r="G10" s="15" t="s">
        <v>2228</v>
      </c>
      <c r="H10" s="15" t="s">
        <v>2585</v>
      </c>
      <c r="I10" s="15" t="s">
        <v>1864</v>
      </c>
    </row>
    <row r="11" spans="1:9" x14ac:dyDescent="0.3">
      <c r="A11" s="12" t="s">
        <v>3171</v>
      </c>
      <c r="B11" s="12" t="s">
        <v>865</v>
      </c>
      <c r="C11" s="12" t="s">
        <v>869</v>
      </c>
      <c r="D11" s="14" t="s">
        <v>1622</v>
      </c>
      <c r="E11" s="12" t="s">
        <v>1600</v>
      </c>
      <c r="F11" s="13" t="s">
        <v>1612</v>
      </c>
      <c r="G11" s="15" t="s">
        <v>2229</v>
      </c>
      <c r="H11" s="15" t="s">
        <v>2577</v>
      </c>
      <c r="I11" s="15" t="s">
        <v>1865</v>
      </c>
    </row>
    <row r="12" spans="1:9" x14ac:dyDescent="0.3">
      <c r="A12" s="12" t="s">
        <v>3172</v>
      </c>
      <c r="B12" s="12" t="s">
        <v>865</v>
      </c>
      <c r="C12" s="12" t="s">
        <v>869</v>
      </c>
      <c r="D12" s="14" t="s">
        <v>1626</v>
      </c>
      <c r="E12" s="12" t="s">
        <v>1600</v>
      </c>
      <c r="F12" s="13" t="s">
        <v>1630</v>
      </c>
      <c r="G12" s="15" t="s">
        <v>2230</v>
      </c>
      <c r="H12" s="15" t="s">
        <v>2588</v>
      </c>
      <c r="I12" s="15" t="s">
        <v>1866</v>
      </c>
    </row>
    <row r="13" spans="1:9" x14ac:dyDescent="0.3">
      <c r="A13" s="12" t="s">
        <v>3173</v>
      </c>
      <c r="B13" s="12" t="s">
        <v>865</v>
      </c>
      <c r="C13" s="12" t="s">
        <v>869</v>
      </c>
      <c r="D13" s="14" t="s">
        <v>1626</v>
      </c>
      <c r="E13" s="12" t="s">
        <v>1600</v>
      </c>
      <c r="F13" s="13" t="s">
        <v>1631</v>
      </c>
      <c r="G13" s="15" t="s">
        <v>2231</v>
      </c>
      <c r="H13" s="15" t="s">
        <v>2589</v>
      </c>
      <c r="I13" s="15" t="s">
        <v>1867</v>
      </c>
    </row>
    <row r="14" spans="1:9" x14ac:dyDescent="0.3">
      <c r="A14" s="12" t="s">
        <v>3174</v>
      </c>
      <c r="B14" s="12" t="s">
        <v>865</v>
      </c>
      <c r="C14" s="12" t="s">
        <v>869</v>
      </c>
      <c r="D14" s="14" t="s">
        <v>1626</v>
      </c>
      <c r="E14" s="12" t="s">
        <v>1600</v>
      </c>
      <c r="F14" s="13" t="s">
        <v>1632</v>
      </c>
      <c r="G14" s="15" t="s">
        <v>2232</v>
      </c>
      <c r="H14" s="15" t="s">
        <v>2590</v>
      </c>
      <c r="I14" s="15" t="s">
        <v>1868</v>
      </c>
    </row>
    <row r="15" spans="1:9" x14ac:dyDescent="0.3">
      <c r="A15" s="12" t="s">
        <v>3175</v>
      </c>
      <c r="B15" s="12" t="s">
        <v>865</v>
      </c>
      <c r="C15" s="12" t="s">
        <v>869</v>
      </c>
      <c r="D15" s="14" t="s">
        <v>1626</v>
      </c>
      <c r="E15" s="12" t="s">
        <v>1600</v>
      </c>
      <c r="F15" s="13" t="s">
        <v>1633</v>
      </c>
      <c r="G15" s="15" t="s">
        <v>2233</v>
      </c>
      <c r="H15" s="15" t="s">
        <v>2591</v>
      </c>
      <c r="I15" s="15" t="s">
        <v>1869</v>
      </c>
    </row>
    <row r="16" spans="1:9" x14ac:dyDescent="0.3">
      <c r="A16" s="12" t="s">
        <v>3176</v>
      </c>
      <c r="B16" s="12" t="s">
        <v>865</v>
      </c>
      <c r="C16" s="12" t="s">
        <v>869</v>
      </c>
      <c r="D16" s="14" t="s">
        <v>1626</v>
      </c>
      <c r="E16" s="12" t="s">
        <v>1600</v>
      </c>
      <c r="F16" s="13" t="s">
        <v>1634</v>
      </c>
      <c r="G16" s="15" t="s">
        <v>2234</v>
      </c>
      <c r="H16" s="15" t="s">
        <v>2592</v>
      </c>
      <c r="I16" s="15" t="s">
        <v>1870</v>
      </c>
    </row>
    <row r="17" spans="1:10" x14ac:dyDescent="0.3">
      <c r="A17" s="12" t="s">
        <v>3177</v>
      </c>
      <c r="B17" s="12" t="s">
        <v>865</v>
      </c>
      <c r="C17" s="12" t="s">
        <v>869</v>
      </c>
      <c r="D17" s="14" t="s">
        <v>1626</v>
      </c>
      <c r="E17" s="12" t="s">
        <v>1600</v>
      </c>
      <c r="F17" s="13" t="s">
        <v>1635</v>
      </c>
      <c r="G17" s="15" t="s">
        <v>2235</v>
      </c>
      <c r="H17" s="15" t="s">
        <v>2593</v>
      </c>
      <c r="I17" s="15" t="s">
        <v>1871</v>
      </c>
    </row>
    <row r="18" spans="1:10" x14ac:dyDescent="0.3">
      <c r="A18" s="12" t="s">
        <v>3178</v>
      </c>
      <c r="B18" s="12" t="s">
        <v>865</v>
      </c>
      <c r="C18" s="12" t="s">
        <v>869</v>
      </c>
      <c r="D18" s="14" t="s">
        <v>1622</v>
      </c>
      <c r="E18" s="12" t="s">
        <v>2213</v>
      </c>
      <c r="F18" s="13" t="s">
        <v>1613</v>
      </c>
      <c r="G18" s="15" t="s">
        <v>2236</v>
      </c>
      <c r="H18" s="15" t="s">
        <v>2578</v>
      </c>
      <c r="I18" s="15" t="s">
        <v>1872</v>
      </c>
    </row>
    <row r="19" spans="1:10" x14ac:dyDescent="0.3">
      <c r="A19" s="12" t="s">
        <v>3179</v>
      </c>
      <c r="B19" s="12" t="s">
        <v>865</v>
      </c>
      <c r="C19" s="12" t="s">
        <v>869</v>
      </c>
      <c r="D19" s="14" t="s">
        <v>1626</v>
      </c>
      <c r="E19" s="12" t="s">
        <v>1600</v>
      </c>
      <c r="F19" s="13" t="s">
        <v>1636</v>
      </c>
      <c r="G19" s="15" t="s">
        <v>2237</v>
      </c>
      <c r="H19" s="15" t="s">
        <v>2594</v>
      </c>
      <c r="I19" s="15" t="s">
        <v>1873</v>
      </c>
    </row>
    <row r="20" spans="1:10" x14ac:dyDescent="0.3">
      <c r="A20" s="12" t="s">
        <v>3180</v>
      </c>
      <c r="B20" s="12" t="s">
        <v>865</v>
      </c>
      <c r="C20" s="12" t="s">
        <v>869</v>
      </c>
      <c r="D20" s="14" t="s">
        <v>1626</v>
      </c>
      <c r="E20" s="12" t="s">
        <v>1600</v>
      </c>
      <c r="F20" s="13" t="s">
        <v>1637</v>
      </c>
      <c r="G20" s="15" t="s">
        <v>2238</v>
      </c>
      <c r="H20" s="15" t="s">
        <v>2595</v>
      </c>
      <c r="I20" s="15" t="s">
        <v>1874</v>
      </c>
    </row>
    <row r="21" spans="1:10" x14ac:dyDescent="0.3">
      <c r="A21" s="12" t="s">
        <v>3181</v>
      </c>
      <c r="B21" s="12" t="s">
        <v>865</v>
      </c>
      <c r="C21" s="12" t="s">
        <v>869</v>
      </c>
      <c r="D21" s="14" t="s">
        <v>1626</v>
      </c>
      <c r="E21" s="12" t="s">
        <v>1600</v>
      </c>
      <c r="F21" s="13" t="s">
        <v>1638</v>
      </c>
      <c r="G21" s="15" t="s">
        <v>2239</v>
      </c>
      <c r="H21" s="15" t="s">
        <v>2596</v>
      </c>
      <c r="I21" s="15" t="s">
        <v>1875</v>
      </c>
    </row>
    <row r="22" spans="1:10" x14ac:dyDescent="0.3">
      <c r="A22" s="12" t="s">
        <v>3182</v>
      </c>
      <c r="B22" s="12" t="s">
        <v>865</v>
      </c>
      <c r="C22" s="12" t="s">
        <v>869</v>
      </c>
      <c r="D22" s="14" t="s">
        <v>1626</v>
      </c>
      <c r="E22" s="12" t="s">
        <v>1600</v>
      </c>
      <c r="F22" s="13" t="s">
        <v>1639</v>
      </c>
      <c r="G22" s="15" t="s">
        <v>2240</v>
      </c>
      <c r="H22" s="15" t="s">
        <v>2597</v>
      </c>
      <c r="I22" s="15" t="s">
        <v>1876</v>
      </c>
    </row>
    <row r="23" spans="1:10" x14ac:dyDescent="0.3">
      <c r="A23" s="12" t="s">
        <v>3183</v>
      </c>
      <c r="B23" s="12" t="s">
        <v>865</v>
      </c>
      <c r="C23" s="12" t="s">
        <v>869</v>
      </c>
      <c r="D23" s="14" t="s">
        <v>1626</v>
      </c>
      <c r="E23" s="12" t="s">
        <v>1600</v>
      </c>
      <c r="F23" s="13" t="s">
        <v>1640</v>
      </c>
      <c r="G23" s="15" t="s">
        <v>2241</v>
      </c>
      <c r="H23" s="15" t="s">
        <v>2598</v>
      </c>
      <c r="I23" s="15" t="s">
        <v>1877</v>
      </c>
    </row>
    <row r="24" spans="1:10" x14ac:dyDescent="0.3">
      <c r="A24" s="12" t="s">
        <v>3184</v>
      </c>
      <c r="B24" s="12" t="s">
        <v>865</v>
      </c>
      <c r="C24" s="12" t="s">
        <v>869</v>
      </c>
      <c r="D24" s="14" t="s">
        <v>1622</v>
      </c>
      <c r="E24" s="12" t="s">
        <v>1600</v>
      </c>
      <c r="F24" s="13" t="s">
        <v>1614</v>
      </c>
      <c r="G24" s="15" t="s">
        <v>2242</v>
      </c>
      <c r="H24" s="15" t="s">
        <v>2579</v>
      </c>
      <c r="I24" s="15" t="s">
        <v>1878</v>
      </c>
    </row>
    <row r="25" spans="1:10" x14ac:dyDescent="0.3">
      <c r="A25" s="12" t="s">
        <v>3185</v>
      </c>
      <c r="B25" s="12" t="s">
        <v>865</v>
      </c>
      <c r="C25" s="12" t="s">
        <v>868</v>
      </c>
      <c r="D25" s="14" t="s">
        <v>1183</v>
      </c>
      <c r="E25" s="12" t="s">
        <v>1589</v>
      </c>
      <c r="F25" s="13" t="s">
        <v>888</v>
      </c>
      <c r="G25" s="16" t="s">
        <v>2217</v>
      </c>
      <c r="H25" s="16" t="s">
        <v>810</v>
      </c>
      <c r="I25" s="16" t="s">
        <v>513</v>
      </c>
      <c r="J25" s="16"/>
    </row>
    <row r="26" spans="1:10" x14ac:dyDescent="0.3">
      <c r="A26" s="12" t="s">
        <v>3186</v>
      </c>
      <c r="B26" s="12" t="s">
        <v>865</v>
      </c>
      <c r="C26" s="12" t="s">
        <v>868</v>
      </c>
      <c r="D26" s="14" t="s">
        <v>1624</v>
      </c>
      <c r="E26" s="12" t="s">
        <v>1589</v>
      </c>
      <c r="F26" s="13" t="s">
        <v>1612</v>
      </c>
      <c r="G26" s="15" t="s">
        <v>857</v>
      </c>
      <c r="H26" s="15" t="s">
        <v>826</v>
      </c>
      <c r="I26" s="15" t="s">
        <v>1610</v>
      </c>
    </row>
    <row r="27" spans="1:10" x14ac:dyDescent="0.3">
      <c r="A27" s="12" t="s">
        <v>3187</v>
      </c>
      <c r="B27" s="12" t="s">
        <v>865</v>
      </c>
      <c r="C27" s="12" t="s">
        <v>868</v>
      </c>
      <c r="D27" s="14" t="s">
        <v>1627</v>
      </c>
      <c r="E27" s="12" t="s">
        <v>1589</v>
      </c>
      <c r="F27" s="13" t="s">
        <v>1615</v>
      </c>
      <c r="G27" s="15" t="s">
        <v>2243</v>
      </c>
      <c r="H27" s="15" t="s">
        <v>2599</v>
      </c>
      <c r="I27" s="15" t="s">
        <v>1879</v>
      </c>
    </row>
    <row r="28" spans="1:10" x14ac:dyDescent="0.3">
      <c r="A28" s="12" t="s">
        <v>3188</v>
      </c>
      <c r="B28" s="12" t="s">
        <v>865</v>
      </c>
      <c r="C28" s="12" t="s">
        <v>868</v>
      </c>
      <c r="D28" s="14" t="s">
        <v>1627</v>
      </c>
      <c r="E28" s="12" t="s">
        <v>1589</v>
      </c>
      <c r="F28" s="13" t="s">
        <v>1616</v>
      </c>
      <c r="G28" s="15" t="s">
        <v>2244</v>
      </c>
      <c r="H28" s="15" t="s">
        <v>2600</v>
      </c>
      <c r="I28" s="15" t="s">
        <v>1880</v>
      </c>
    </row>
    <row r="29" spans="1:10" x14ac:dyDescent="0.3">
      <c r="A29" s="12" t="s">
        <v>3189</v>
      </c>
      <c r="B29" s="12" t="s">
        <v>865</v>
      </c>
      <c r="C29" s="12" t="s">
        <v>868</v>
      </c>
      <c r="D29" s="14" t="s">
        <v>1627</v>
      </c>
      <c r="E29" s="12" t="s">
        <v>1589</v>
      </c>
      <c r="F29" s="13" t="s">
        <v>1617</v>
      </c>
      <c r="G29" s="15" t="s">
        <v>2245</v>
      </c>
      <c r="H29" s="15" t="s">
        <v>2601</v>
      </c>
      <c r="I29" s="15" t="s">
        <v>1881</v>
      </c>
    </row>
    <row r="30" spans="1:10" x14ac:dyDescent="0.3">
      <c r="A30" s="12" t="s">
        <v>3190</v>
      </c>
      <c r="B30" s="12" t="s">
        <v>865</v>
      </c>
      <c r="C30" s="12" t="s">
        <v>868</v>
      </c>
      <c r="D30" s="14" t="s">
        <v>1627</v>
      </c>
      <c r="E30" s="12" t="s">
        <v>1589</v>
      </c>
      <c r="F30" s="13" t="s">
        <v>1618</v>
      </c>
      <c r="G30" s="15" t="s">
        <v>2246</v>
      </c>
      <c r="H30" s="15" t="s">
        <v>2602</v>
      </c>
      <c r="I30" s="15" t="s">
        <v>1882</v>
      </c>
    </row>
    <row r="31" spans="1:10" x14ac:dyDescent="0.3">
      <c r="A31" s="12" t="s">
        <v>3191</v>
      </c>
      <c r="B31" s="12" t="s">
        <v>865</v>
      </c>
      <c r="C31" s="12" t="s">
        <v>868</v>
      </c>
      <c r="D31" s="14" t="s">
        <v>1627</v>
      </c>
      <c r="E31" s="12" t="s">
        <v>1589</v>
      </c>
      <c r="F31" s="13" t="s">
        <v>1619</v>
      </c>
      <c r="G31" s="15" t="s">
        <v>2247</v>
      </c>
      <c r="H31" s="15" t="s">
        <v>2603</v>
      </c>
      <c r="I31" s="15" t="s">
        <v>1883</v>
      </c>
    </row>
    <row r="32" spans="1:10" x14ac:dyDescent="0.3">
      <c r="A32" s="12" t="s">
        <v>3192</v>
      </c>
      <c r="B32" s="12" t="s">
        <v>865</v>
      </c>
      <c r="C32" s="12" t="s">
        <v>868</v>
      </c>
      <c r="D32" s="14" t="s">
        <v>1627</v>
      </c>
      <c r="E32" s="12" t="s">
        <v>1589</v>
      </c>
      <c r="F32" s="13" t="s">
        <v>1620</v>
      </c>
      <c r="G32" s="15" t="s">
        <v>2248</v>
      </c>
      <c r="H32" s="15" t="s">
        <v>2604</v>
      </c>
      <c r="I32" s="15" t="s">
        <v>1884</v>
      </c>
    </row>
    <row r="33" spans="1:10" x14ac:dyDescent="0.3">
      <c r="A33" s="12" t="s">
        <v>3193</v>
      </c>
      <c r="B33" s="12" t="s">
        <v>865</v>
      </c>
      <c r="C33" s="12" t="s">
        <v>868</v>
      </c>
      <c r="D33" s="14" t="s">
        <v>1168</v>
      </c>
      <c r="E33" s="12" t="s">
        <v>1589</v>
      </c>
      <c r="F33" s="13" t="s">
        <v>875</v>
      </c>
      <c r="G33" s="16" t="s">
        <v>10</v>
      </c>
      <c r="H33" s="16" t="s">
        <v>592</v>
      </c>
      <c r="I33" s="16" t="s">
        <v>96</v>
      </c>
      <c r="J33" s="16"/>
    </row>
    <row r="34" spans="1:10" x14ac:dyDescent="0.3">
      <c r="A34" s="12" t="s">
        <v>3194</v>
      </c>
      <c r="B34" s="12" t="s">
        <v>865</v>
      </c>
      <c r="C34" s="12" t="s">
        <v>868</v>
      </c>
      <c r="D34" s="14" t="s">
        <v>1627</v>
      </c>
      <c r="E34" s="12" t="s">
        <v>1589</v>
      </c>
      <c r="F34" s="13" t="s">
        <v>1630</v>
      </c>
      <c r="G34" s="15" t="s">
        <v>2249</v>
      </c>
      <c r="H34" s="15" t="s">
        <v>2605</v>
      </c>
      <c r="I34" s="15" t="s">
        <v>1885</v>
      </c>
    </row>
    <row r="35" spans="1:10" x14ac:dyDescent="0.3">
      <c r="A35" s="12" t="s">
        <v>3195</v>
      </c>
      <c r="B35" s="12" t="s">
        <v>865</v>
      </c>
      <c r="C35" s="12" t="s">
        <v>868</v>
      </c>
      <c r="D35" s="14" t="s">
        <v>1627</v>
      </c>
      <c r="E35" s="12" t="s">
        <v>1589</v>
      </c>
      <c r="F35" s="13" t="s">
        <v>1631</v>
      </c>
      <c r="G35" s="15" t="s">
        <v>2250</v>
      </c>
      <c r="H35" s="15" t="s">
        <v>2606</v>
      </c>
      <c r="I35" s="15" t="s">
        <v>1886</v>
      </c>
    </row>
    <row r="36" spans="1:10" x14ac:dyDescent="0.3">
      <c r="A36" s="12" t="s">
        <v>3196</v>
      </c>
      <c r="B36" s="12" t="s">
        <v>865</v>
      </c>
      <c r="C36" s="12" t="s">
        <v>868</v>
      </c>
      <c r="D36" s="14" t="s">
        <v>1627</v>
      </c>
      <c r="E36" s="12" t="s">
        <v>1589</v>
      </c>
      <c r="F36" s="13" t="s">
        <v>1632</v>
      </c>
      <c r="G36" s="15" t="s">
        <v>2251</v>
      </c>
      <c r="H36" s="15" t="s">
        <v>2607</v>
      </c>
      <c r="I36" s="15" t="s">
        <v>1887</v>
      </c>
    </row>
    <row r="37" spans="1:10" x14ac:dyDescent="0.3">
      <c r="A37" s="12" t="s">
        <v>3197</v>
      </c>
      <c r="B37" s="12" t="s">
        <v>865</v>
      </c>
      <c r="C37" s="12" t="s">
        <v>868</v>
      </c>
      <c r="D37" s="14" t="s">
        <v>1627</v>
      </c>
      <c r="E37" s="12" t="s">
        <v>1589</v>
      </c>
      <c r="F37" s="13" t="s">
        <v>1633</v>
      </c>
      <c r="G37" s="15" t="s">
        <v>2252</v>
      </c>
      <c r="H37" s="15" t="s">
        <v>2608</v>
      </c>
      <c r="I37" s="15" t="s">
        <v>1888</v>
      </c>
    </row>
    <row r="38" spans="1:10" x14ac:dyDescent="0.3">
      <c r="A38" s="12" t="s">
        <v>3198</v>
      </c>
      <c r="B38" s="12" t="s">
        <v>865</v>
      </c>
      <c r="C38" s="12" t="s">
        <v>868</v>
      </c>
      <c r="D38" s="14" t="s">
        <v>1627</v>
      </c>
      <c r="E38" s="12" t="s">
        <v>1589</v>
      </c>
      <c r="F38" s="13" t="s">
        <v>1634</v>
      </c>
      <c r="G38" s="15" t="s">
        <v>2253</v>
      </c>
      <c r="H38" s="15" t="s">
        <v>2609</v>
      </c>
      <c r="I38" s="15" t="s">
        <v>1889</v>
      </c>
    </row>
    <row r="39" spans="1:10" x14ac:dyDescent="0.3">
      <c r="A39" s="12" t="s">
        <v>3199</v>
      </c>
      <c r="B39" s="12" t="s">
        <v>865</v>
      </c>
      <c r="C39" s="12" t="s">
        <v>868</v>
      </c>
      <c r="D39" s="14" t="s">
        <v>1627</v>
      </c>
      <c r="E39" s="12" t="s">
        <v>1589</v>
      </c>
      <c r="F39" s="13" t="s">
        <v>1635</v>
      </c>
      <c r="G39" s="15" t="s">
        <v>2254</v>
      </c>
      <c r="H39" s="15" t="s">
        <v>2610</v>
      </c>
      <c r="I39" s="15" t="s">
        <v>1890</v>
      </c>
    </row>
    <row r="40" spans="1:10" x14ac:dyDescent="0.3">
      <c r="A40" s="12" t="s">
        <v>3200</v>
      </c>
      <c r="B40" s="12" t="s">
        <v>865</v>
      </c>
      <c r="C40" s="12" t="s">
        <v>868</v>
      </c>
      <c r="D40" s="14" t="s">
        <v>1183</v>
      </c>
      <c r="E40" s="12" t="s">
        <v>1589</v>
      </c>
      <c r="F40" s="13" t="s">
        <v>887</v>
      </c>
      <c r="G40" s="16" t="s">
        <v>2218</v>
      </c>
      <c r="H40" s="16" t="s">
        <v>606</v>
      </c>
      <c r="I40" s="16" t="s">
        <v>512</v>
      </c>
      <c r="J40" s="16"/>
    </row>
    <row r="41" spans="1:10" x14ac:dyDescent="0.3">
      <c r="A41" s="12" t="s">
        <v>3201</v>
      </c>
      <c r="B41" s="12" t="s">
        <v>865</v>
      </c>
      <c r="C41" s="12" t="s">
        <v>870</v>
      </c>
      <c r="D41" s="14" t="s">
        <v>1629</v>
      </c>
      <c r="E41" s="12" t="s">
        <v>2214</v>
      </c>
      <c r="F41" s="13" t="s">
        <v>1615</v>
      </c>
      <c r="G41" s="15" t="s">
        <v>2255</v>
      </c>
      <c r="H41" s="15" t="s">
        <v>2611</v>
      </c>
      <c r="I41" s="15" t="s">
        <v>1891</v>
      </c>
      <c r="J41" s="16"/>
    </row>
    <row r="42" spans="1:10" x14ac:dyDescent="0.3">
      <c r="A42" s="12" t="s">
        <v>3202</v>
      </c>
      <c r="B42" s="12" t="s">
        <v>865</v>
      </c>
      <c r="C42" s="12" t="s">
        <v>870</v>
      </c>
      <c r="D42" s="14" t="s">
        <v>1629</v>
      </c>
      <c r="E42" s="12" t="s">
        <v>2214</v>
      </c>
      <c r="F42" s="13" t="s">
        <v>1616</v>
      </c>
      <c r="G42" s="15" t="s">
        <v>2256</v>
      </c>
      <c r="H42" s="15" t="s">
        <v>2612</v>
      </c>
      <c r="I42" s="15" t="s">
        <v>1892</v>
      </c>
      <c r="J42" s="16"/>
    </row>
    <row r="43" spans="1:10" x14ac:dyDescent="0.3">
      <c r="A43" s="12" t="s">
        <v>3203</v>
      </c>
      <c r="B43" s="12" t="s">
        <v>865</v>
      </c>
      <c r="C43" s="12" t="s">
        <v>870</v>
      </c>
      <c r="D43" s="14" t="s">
        <v>1629</v>
      </c>
      <c r="E43" s="12" t="s">
        <v>2214</v>
      </c>
      <c r="F43" s="13" t="s">
        <v>1617</v>
      </c>
      <c r="G43" s="15" t="s">
        <v>2257</v>
      </c>
      <c r="H43" s="15" t="s">
        <v>2613</v>
      </c>
      <c r="I43" s="15" t="s">
        <v>1893</v>
      </c>
      <c r="J43" s="16"/>
    </row>
    <row r="44" spans="1:10" x14ac:dyDescent="0.3">
      <c r="A44" s="12" t="s">
        <v>3204</v>
      </c>
      <c r="B44" s="12" t="s">
        <v>865</v>
      </c>
      <c r="C44" s="12" t="s">
        <v>870</v>
      </c>
      <c r="D44" s="14" t="s">
        <v>1629</v>
      </c>
      <c r="E44" s="12" t="s">
        <v>2214</v>
      </c>
      <c r="F44" s="13" t="s">
        <v>1618</v>
      </c>
      <c r="G44" s="15" t="s">
        <v>2258</v>
      </c>
      <c r="H44" s="15" t="s">
        <v>2614</v>
      </c>
      <c r="I44" s="15" t="s">
        <v>1894</v>
      </c>
      <c r="J44" s="16"/>
    </row>
    <row r="45" spans="1:10" x14ac:dyDescent="0.3">
      <c r="A45" s="12" t="s">
        <v>3205</v>
      </c>
      <c r="B45" s="12" t="s">
        <v>865</v>
      </c>
      <c r="C45" s="12" t="s">
        <v>870</v>
      </c>
      <c r="D45" s="14" t="s">
        <v>1629</v>
      </c>
      <c r="E45" s="12" t="s">
        <v>2214</v>
      </c>
      <c r="F45" s="13" t="s">
        <v>1619</v>
      </c>
      <c r="G45" s="15" t="s">
        <v>2259</v>
      </c>
      <c r="H45" s="15" t="s">
        <v>2615</v>
      </c>
      <c r="I45" s="15" t="s">
        <v>1895</v>
      </c>
      <c r="J45" s="16"/>
    </row>
    <row r="46" spans="1:10" x14ac:dyDescent="0.3">
      <c r="A46" s="12" t="s">
        <v>3206</v>
      </c>
      <c r="B46" s="12" t="s">
        <v>865</v>
      </c>
      <c r="C46" s="12" t="s">
        <v>870</v>
      </c>
      <c r="D46" s="14" t="s">
        <v>1629</v>
      </c>
      <c r="E46" s="12" t="s">
        <v>2214</v>
      </c>
      <c r="F46" s="13" t="s">
        <v>1620</v>
      </c>
      <c r="G46" s="15" t="s">
        <v>2260</v>
      </c>
      <c r="H46" s="15" t="s">
        <v>2616</v>
      </c>
      <c r="I46" s="15" t="s">
        <v>1896</v>
      </c>
      <c r="J46" s="16"/>
    </row>
    <row r="47" spans="1:10" x14ac:dyDescent="0.3">
      <c r="A47" s="12" t="s">
        <v>3207</v>
      </c>
      <c r="B47" s="12" t="s">
        <v>865</v>
      </c>
      <c r="C47" s="12" t="s">
        <v>870</v>
      </c>
      <c r="D47" s="14" t="s">
        <v>1624</v>
      </c>
      <c r="E47" s="12" t="s">
        <v>2214</v>
      </c>
      <c r="F47" s="13" t="s">
        <v>1612</v>
      </c>
      <c r="G47" s="15" t="s">
        <v>2261</v>
      </c>
      <c r="H47" s="15" t="s">
        <v>2617</v>
      </c>
      <c r="I47" s="15" t="s">
        <v>1897</v>
      </c>
      <c r="J47" s="16"/>
    </row>
    <row r="48" spans="1:10" x14ac:dyDescent="0.3">
      <c r="A48" s="12" t="s">
        <v>3208</v>
      </c>
      <c r="B48" s="12" t="s">
        <v>865</v>
      </c>
      <c r="C48" s="12" t="s">
        <v>870</v>
      </c>
      <c r="D48" s="14" t="s">
        <v>1629</v>
      </c>
      <c r="E48" s="12" t="s">
        <v>2214</v>
      </c>
      <c r="F48" s="13" t="s">
        <v>1630</v>
      </c>
      <c r="G48" s="15" t="s">
        <v>2262</v>
      </c>
      <c r="H48" s="15" t="s">
        <v>2618</v>
      </c>
      <c r="I48" s="15" t="s">
        <v>1898</v>
      </c>
      <c r="J48" s="16"/>
    </row>
    <row r="49" spans="1:10" x14ac:dyDescent="0.3">
      <c r="A49" s="12" t="s">
        <v>3209</v>
      </c>
      <c r="B49" s="12" t="s">
        <v>865</v>
      </c>
      <c r="C49" s="12" t="s">
        <v>870</v>
      </c>
      <c r="D49" s="14" t="s">
        <v>1629</v>
      </c>
      <c r="E49" s="12" t="s">
        <v>2214</v>
      </c>
      <c r="F49" s="13" t="s">
        <v>1631</v>
      </c>
      <c r="G49" s="15" t="s">
        <v>2263</v>
      </c>
      <c r="H49" s="15" t="s">
        <v>2619</v>
      </c>
      <c r="I49" s="15" t="s">
        <v>1899</v>
      </c>
      <c r="J49" s="16"/>
    </row>
    <row r="50" spans="1:10" x14ac:dyDescent="0.3">
      <c r="A50" s="12" t="s">
        <v>3210</v>
      </c>
      <c r="B50" s="12" t="s">
        <v>865</v>
      </c>
      <c r="C50" s="12" t="s">
        <v>870</v>
      </c>
      <c r="D50" s="14" t="s">
        <v>1629</v>
      </c>
      <c r="E50" s="12" t="s">
        <v>2214</v>
      </c>
      <c r="F50" s="13" t="s">
        <v>1632</v>
      </c>
      <c r="G50" s="15" t="s">
        <v>2264</v>
      </c>
      <c r="H50" s="15" t="s">
        <v>2620</v>
      </c>
      <c r="I50" s="15" t="s">
        <v>1900</v>
      </c>
      <c r="J50" s="16"/>
    </row>
    <row r="51" spans="1:10" x14ac:dyDescent="0.3">
      <c r="A51" s="12" t="s">
        <v>3211</v>
      </c>
      <c r="B51" s="12" t="s">
        <v>865</v>
      </c>
      <c r="C51" s="12" t="s">
        <v>870</v>
      </c>
      <c r="D51" s="14" t="s">
        <v>1629</v>
      </c>
      <c r="E51" s="12" t="s">
        <v>2214</v>
      </c>
      <c r="F51" s="13" t="s">
        <v>1633</v>
      </c>
      <c r="G51" s="15" t="s">
        <v>2265</v>
      </c>
      <c r="H51" s="15" t="s">
        <v>2621</v>
      </c>
      <c r="I51" s="15" t="s">
        <v>1901</v>
      </c>
      <c r="J51" s="16"/>
    </row>
    <row r="52" spans="1:10" x14ac:dyDescent="0.3">
      <c r="A52" s="12" t="s">
        <v>3212</v>
      </c>
      <c r="B52" s="12" t="s">
        <v>865</v>
      </c>
      <c r="C52" s="12" t="s">
        <v>870</v>
      </c>
      <c r="D52" s="14" t="s">
        <v>1629</v>
      </c>
      <c r="E52" s="12" t="s">
        <v>2214</v>
      </c>
      <c r="F52" s="13" t="s">
        <v>1634</v>
      </c>
      <c r="G52" s="15" t="s">
        <v>2266</v>
      </c>
      <c r="H52" s="15" t="s">
        <v>2622</v>
      </c>
      <c r="I52" s="15" t="s">
        <v>1902</v>
      </c>
      <c r="J52" s="16"/>
    </row>
    <row r="53" spans="1:10" x14ac:dyDescent="0.3">
      <c r="A53" s="12" t="s">
        <v>3213</v>
      </c>
      <c r="B53" s="12" t="s">
        <v>865</v>
      </c>
      <c r="C53" s="12" t="s">
        <v>870</v>
      </c>
      <c r="D53" s="14" t="s">
        <v>1629</v>
      </c>
      <c r="E53" s="12" t="s">
        <v>2214</v>
      </c>
      <c r="F53" s="13" t="s">
        <v>1635</v>
      </c>
      <c r="G53" s="15" t="s">
        <v>2267</v>
      </c>
      <c r="H53" s="15" t="s">
        <v>2623</v>
      </c>
      <c r="I53" s="15" t="s">
        <v>1903</v>
      </c>
      <c r="J53" s="16"/>
    </row>
    <row r="54" spans="1:10" x14ac:dyDescent="0.3">
      <c r="A54" s="12" t="s">
        <v>3214</v>
      </c>
      <c r="B54" s="12" t="s">
        <v>865</v>
      </c>
      <c r="C54" s="12" t="s">
        <v>870</v>
      </c>
      <c r="D54" s="14" t="s">
        <v>1624</v>
      </c>
      <c r="E54" s="12" t="s">
        <v>2214</v>
      </c>
      <c r="F54" s="13" t="s">
        <v>1613</v>
      </c>
      <c r="G54" s="15" t="s">
        <v>2268</v>
      </c>
      <c r="H54" s="15" t="s">
        <v>2624</v>
      </c>
      <c r="I54" s="15" t="s">
        <v>1904</v>
      </c>
      <c r="J54" s="16"/>
    </row>
    <row r="55" spans="1:10" x14ac:dyDescent="0.3">
      <c r="A55" s="12" t="s">
        <v>3215</v>
      </c>
      <c r="B55" s="12" t="s">
        <v>865</v>
      </c>
      <c r="C55" s="12" t="s">
        <v>870</v>
      </c>
      <c r="D55" s="14" t="s">
        <v>1629</v>
      </c>
      <c r="E55" s="12" t="s">
        <v>2214</v>
      </c>
      <c r="F55" s="13" t="s">
        <v>1636</v>
      </c>
      <c r="G55" s="15" t="s">
        <v>2269</v>
      </c>
      <c r="H55" s="15" t="s">
        <v>2625</v>
      </c>
      <c r="I55" s="15" t="s">
        <v>1905</v>
      </c>
      <c r="J55" s="16"/>
    </row>
    <row r="56" spans="1:10" x14ac:dyDescent="0.3">
      <c r="A56" s="12" t="s">
        <v>3216</v>
      </c>
      <c r="B56" s="12" t="s">
        <v>865</v>
      </c>
      <c r="C56" s="12" t="s">
        <v>870</v>
      </c>
      <c r="D56" s="14" t="s">
        <v>1629</v>
      </c>
      <c r="E56" s="12" t="s">
        <v>2214</v>
      </c>
      <c r="F56" s="13" t="s">
        <v>1637</v>
      </c>
      <c r="G56" s="15" t="s">
        <v>2270</v>
      </c>
      <c r="H56" s="15" t="s">
        <v>2626</v>
      </c>
      <c r="I56" s="15" t="s">
        <v>1906</v>
      </c>
      <c r="J56" s="16"/>
    </row>
    <row r="57" spans="1:10" x14ac:dyDescent="0.3">
      <c r="A57" s="12" t="s">
        <v>3217</v>
      </c>
      <c r="B57" s="12" t="s">
        <v>865</v>
      </c>
      <c r="C57" s="12" t="s">
        <v>870</v>
      </c>
      <c r="D57" s="14" t="s">
        <v>1629</v>
      </c>
      <c r="E57" s="12" t="s">
        <v>2214</v>
      </c>
      <c r="F57" s="13" t="s">
        <v>1638</v>
      </c>
      <c r="G57" s="15" t="s">
        <v>2271</v>
      </c>
      <c r="H57" s="15" t="s">
        <v>2627</v>
      </c>
      <c r="I57" s="15" t="s">
        <v>1907</v>
      </c>
      <c r="J57" s="16"/>
    </row>
    <row r="58" spans="1:10" x14ac:dyDescent="0.3">
      <c r="A58" s="12" t="s">
        <v>3218</v>
      </c>
      <c r="B58" s="12" t="s">
        <v>865</v>
      </c>
      <c r="C58" s="12" t="s">
        <v>870</v>
      </c>
      <c r="D58" s="14" t="s">
        <v>1629</v>
      </c>
      <c r="E58" s="12" t="s">
        <v>2214</v>
      </c>
      <c r="F58" s="13" t="s">
        <v>1639</v>
      </c>
      <c r="G58" s="15" t="s">
        <v>2272</v>
      </c>
      <c r="H58" s="15" t="s">
        <v>2628</v>
      </c>
      <c r="I58" s="15" t="s">
        <v>1908</v>
      </c>
      <c r="J58" s="16"/>
    </row>
    <row r="59" spans="1:10" x14ac:dyDescent="0.3">
      <c r="A59" s="12" t="s">
        <v>3219</v>
      </c>
      <c r="B59" s="12" t="s">
        <v>865</v>
      </c>
      <c r="C59" s="12" t="s">
        <v>870</v>
      </c>
      <c r="D59" s="14" t="s">
        <v>1629</v>
      </c>
      <c r="E59" s="12" t="s">
        <v>2214</v>
      </c>
      <c r="F59" s="13" t="s">
        <v>1640</v>
      </c>
      <c r="G59" s="15" t="s">
        <v>2273</v>
      </c>
      <c r="H59" s="15" t="s">
        <v>2629</v>
      </c>
      <c r="I59" s="15" t="s">
        <v>1909</v>
      </c>
      <c r="J59" s="16"/>
    </row>
    <row r="60" spans="1:10" x14ac:dyDescent="0.3">
      <c r="A60" s="12" t="s">
        <v>3220</v>
      </c>
      <c r="B60" s="12" t="s">
        <v>865</v>
      </c>
      <c r="C60" s="12" t="s">
        <v>870</v>
      </c>
      <c r="D60" s="14" t="s">
        <v>1629</v>
      </c>
      <c r="E60" s="12" t="s">
        <v>2214</v>
      </c>
      <c r="F60" s="13" t="s">
        <v>1641</v>
      </c>
      <c r="G60" s="15" t="s">
        <v>2274</v>
      </c>
      <c r="H60" s="15" t="s">
        <v>2630</v>
      </c>
      <c r="I60" s="15" t="s">
        <v>1910</v>
      </c>
      <c r="J60" s="16"/>
    </row>
    <row r="61" spans="1:10" x14ac:dyDescent="0.3">
      <c r="A61" s="12" t="s">
        <v>3221</v>
      </c>
      <c r="B61" s="12" t="s">
        <v>865</v>
      </c>
      <c r="C61" s="12" t="s">
        <v>870</v>
      </c>
      <c r="D61" s="14" t="s">
        <v>1624</v>
      </c>
      <c r="E61" s="12" t="s">
        <v>2214</v>
      </c>
      <c r="F61" s="13" t="s">
        <v>1614</v>
      </c>
      <c r="G61" s="15" t="s">
        <v>2275</v>
      </c>
      <c r="H61" s="15" t="s">
        <v>2631</v>
      </c>
      <c r="I61" s="15" t="s">
        <v>1911</v>
      </c>
      <c r="J61" s="16"/>
    </row>
    <row r="62" spans="1:10" x14ac:dyDescent="0.3">
      <c r="A62" s="12" t="s">
        <v>3222</v>
      </c>
      <c r="B62" s="12" t="s">
        <v>865</v>
      </c>
      <c r="C62" s="12" t="s">
        <v>870</v>
      </c>
      <c r="D62" s="14" t="s">
        <v>1629</v>
      </c>
      <c r="E62" s="12" t="s">
        <v>2214</v>
      </c>
      <c r="F62" s="13" t="s">
        <v>1642</v>
      </c>
      <c r="G62" s="15" t="s">
        <v>2276</v>
      </c>
      <c r="H62" s="15" t="s">
        <v>2632</v>
      </c>
      <c r="I62" s="15" t="s">
        <v>1912</v>
      </c>
      <c r="J62" s="16"/>
    </row>
    <row r="63" spans="1:10" x14ac:dyDescent="0.3">
      <c r="A63" s="12" t="s">
        <v>3223</v>
      </c>
      <c r="B63" s="12" t="s">
        <v>865</v>
      </c>
      <c r="C63" s="12" t="s">
        <v>870</v>
      </c>
      <c r="D63" s="14" t="s">
        <v>1629</v>
      </c>
      <c r="E63" s="12" t="s">
        <v>2214</v>
      </c>
      <c r="F63" s="13" t="s">
        <v>1643</v>
      </c>
      <c r="G63" s="15" t="s">
        <v>2277</v>
      </c>
      <c r="H63" s="15" t="s">
        <v>2633</v>
      </c>
      <c r="I63" s="15" t="s">
        <v>1913</v>
      </c>
      <c r="J63" s="16"/>
    </row>
    <row r="64" spans="1:10" x14ac:dyDescent="0.3">
      <c r="A64" s="12" t="s">
        <v>3224</v>
      </c>
      <c r="B64" s="12" t="s">
        <v>865</v>
      </c>
      <c r="C64" s="12" t="s">
        <v>870</v>
      </c>
      <c r="D64" s="14" t="s">
        <v>1629</v>
      </c>
      <c r="E64" s="12" t="s">
        <v>2214</v>
      </c>
      <c r="F64" s="13" t="s">
        <v>1644</v>
      </c>
      <c r="G64" s="15" t="s">
        <v>2278</v>
      </c>
      <c r="H64" s="15" t="s">
        <v>2634</v>
      </c>
      <c r="I64" s="15" t="s">
        <v>1914</v>
      </c>
      <c r="J64" s="16"/>
    </row>
    <row r="65" spans="1:10" x14ac:dyDescent="0.3">
      <c r="A65" s="12" t="s">
        <v>3225</v>
      </c>
      <c r="B65" s="12" t="s">
        <v>865</v>
      </c>
      <c r="C65" s="12" t="s">
        <v>870</v>
      </c>
      <c r="D65" s="14" t="s">
        <v>1629</v>
      </c>
      <c r="E65" s="12" t="s">
        <v>2214</v>
      </c>
      <c r="F65" s="13" t="s">
        <v>1645</v>
      </c>
      <c r="G65" s="15" t="s">
        <v>2279</v>
      </c>
      <c r="H65" s="15" t="s">
        <v>2635</v>
      </c>
      <c r="I65" s="15" t="s">
        <v>1915</v>
      </c>
      <c r="J65" s="16"/>
    </row>
    <row r="66" spans="1:10" x14ac:dyDescent="0.3">
      <c r="A66" s="12" t="s">
        <v>3226</v>
      </c>
      <c r="B66" s="12" t="s">
        <v>865</v>
      </c>
      <c r="C66" s="12" t="s">
        <v>870</v>
      </c>
      <c r="D66" s="14" t="s">
        <v>1629</v>
      </c>
      <c r="E66" s="12" t="s">
        <v>2214</v>
      </c>
      <c r="F66" s="13" t="s">
        <v>1646</v>
      </c>
      <c r="G66" s="15" t="s">
        <v>2280</v>
      </c>
      <c r="H66" s="15" t="s">
        <v>2636</v>
      </c>
      <c r="I66" s="15" t="s">
        <v>1916</v>
      </c>
      <c r="J66" s="16"/>
    </row>
    <row r="67" spans="1:10" x14ac:dyDescent="0.3">
      <c r="A67" s="12" t="s">
        <v>3227</v>
      </c>
      <c r="B67" s="12" t="s">
        <v>865</v>
      </c>
      <c r="C67" s="12" t="s">
        <v>870</v>
      </c>
      <c r="D67" s="14" t="s">
        <v>1629</v>
      </c>
      <c r="E67" s="12" t="s">
        <v>2214</v>
      </c>
      <c r="F67" s="13" t="s">
        <v>1647</v>
      </c>
      <c r="G67" s="15" t="s">
        <v>2281</v>
      </c>
      <c r="H67" s="15" t="s">
        <v>2637</v>
      </c>
      <c r="I67" s="15" t="s">
        <v>1917</v>
      </c>
      <c r="J67" s="16"/>
    </row>
    <row r="68" spans="1:10" x14ac:dyDescent="0.3">
      <c r="A68" s="12" t="s">
        <v>3228</v>
      </c>
      <c r="B68" s="12" t="s">
        <v>865</v>
      </c>
      <c r="C68" s="12" t="s">
        <v>870</v>
      </c>
      <c r="D68" s="14" t="s">
        <v>1624</v>
      </c>
      <c r="E68" s="12" t="s">
        <v>2214</v>
      </c>
      <c r="F68" s="13" t="s">
        <v>1648</v>
      </c>
      <c r="G68" s="15" t="s">
        <v>2282</v>
      </c>
      <c r="H68" s="15" t="s">
        <v>2638</v>
      </c>
      <c r="I68" s="15" t="s">
        <v>1918</v>
      </c>
      <c r="J68" s="16"/>
    </row>
    <row r="69" spans="1:10" x14ac:dyDescent="0.3">
      <c r="A69" s="12" t="s">
        <v>3229</v>
      </c>
      <c r="B69" s="12" t="s">
        <v>865</v>
      </c>
      <c r="C69" s="12" t="s">
        <v>870</v>
      </c>
      <c r="D69" s="14" t="s">
        <v>1629</v>
      </c>
      <c r="E69" s="12" t="s">
        <v>2214</v>
      </c>
      <c r="F69" s="13" t="s">
        <v>1649</v>
      </c>
      <c r="G69" s="15" t="s">
        <v>2283</v>
      </c>
      <c r="H69" s="15" t="s">
        <v>2639</v>
      </c>
      <c r="I69" s="15" t="s">
        <v>1919</v>
      </c>
      <c r="J69" s="16"/>
    </row>
    <row r="70" spans="1:10" x14ac:dyDescent="0.3">
      <c r="A70" s="12" t="s">
        <v>3230</v>
      </c>
      <c r="B70" s="12" t="s">
        <v>865</v>
      </c>
      <c r="C70" s="12" t="s">
        <v>870</v>
      </c>
      <c r="D70" s="14" t="s">
        <v>1629</v>
      </c>
      <c r="E70" s="12" t="s">
        <v>2214</v>
      </c>
      <c r="F70" s="13" t="s">
        <v>1650</v>
      </c>
      <c r="G70" s="15" t="s">
        <v>2284</v>
      </c>
      <c r="H70" s="15" t="s">
        <v>2640</v>
      </c>
      <c r="I70" s="15" t="s">
        <v>1920</v>
      </c>
      <c r="J70" s="16"/>
    </row>
    <row r="71" spans="1:10" x14ac:dyDescent="0.3">
      <c r="A71" s="12" t="s">
        <v>3231</v>
      </c>
      <c r="B71" s="12" t="s">
        <v>865</v>
      </c>
      <c r="C71" s="12" t="s">
        <v>870</v>
      </c>
      <c r="D71" s="14" t="s">
        <v>1629</v>
      </c>
      <c r="E71" s="12" t="s">
        <v>2214</v>
      </c>
      <c r="F71" s="13" t="s">
        <v>1651</v>
      </c>
      <c r="G71" s="15" t="s">
        <v>2285</v>
      </c>
      <c r="H71" s="15" t="s">
        <v>2641</v>
      </c>
      <c r="I71" s="15" t="s">
        <v>1921</v>
      </c>
      <c r="J71" s="16"/>
    </row>
    <row r="72" spans="1:10" x14ac:dyDescent="0.3">
      <c r="A72" s="12" t="s">
        <v>3232</v>
      </c>
      <c r="B72" s="12" t="s">
        <v>865</v>
      </c>
      <c r="C72" s="12" t="s">
        <v>870</v>
      </c>
      <c r="D72" s="14" t="s">
        <v>1629</v>
      </c>
      <c r="E72" s="12" t="s">
        <v>2214</v>
      </c>
      <c r="F72" s="13" t="s">
        <v>1652</v>
      </c>
      <c r="G72" s="15" t="s">
        <v>2286</v>
      </c>
      <c r="H72" s="15" t="s">
        <v>2642</v>
      </c>
      <c r="I72" s="15" t="s">
        <v>1922</v>
      </c>
      <c r="J72" s="16"/>
    </row>
    <row r="73" spans="1:10" x14ac:dyDescent="0.3">
      <c r="A73" s="12" t="s">
        <v>3233</v>
      </c>
      <c r="B73" s="12" t="s">
        <v>865</v>
      </c>
      <c r="C73" s="12" t="s">
        <v>870</v>
      </c>
      <c r="D73" s="14" t="s">
        <v>1629</v>
      </c>
      <c r="E73" s="12" t="s">
        <v>2214</v>
      </c>
      <c r="F73" s="13" t="s">
        <v>1653</v>
      </c>
      <c r="G73" s="15" t="s">
        <v>2287</v>
      </c>
      <c r="H73" s="15" t="s">
        <v>2643</v>
      </c>
      <c r="I73" s="15" t="s">
        <v>1923</v>
      </c>
      <c r="J73" s="16"/>
    </row>
    <row r="74" spans="1:10" x14ac:dyDescent="0.3">
      <c r="A74" s="12" t="s">
        <v>3234</v>
      </c>
      <c r="B74" s="12" t="s">
        <v>865</v>
      </c>
      <c r="C74" s="12" t="s">
        <v>870</v>
      </c>
      <c r="D74" s="14" t="s">
        <v>1629</v>
      </c>
      <c r="E74" s="12" t="s">
        <v>2214</v>
      </c>
      <c r="F74" s="13" t="s">
        <v>1654</v>
      </c>
      <c r="G74" s="15" t="s">
        <v>2288</v>
      </c>
      <c r="H74" s="15" t="s">
        <v>2644</v>
      </c>
      <c r="I74" s="15" t="s">
        <v>1924</v>
      </c>
      <c r="J74" s="16"/>
    </row>
    <row r="75" spans="1:10" x14ac:dyDescent="0.3">
      <c r="A75" s="12" t="s">
        <v>3235</v>
      </c>
      <c r="B75" s="12" t="s">
        <v>865</v>
      </c>
      <c r="C75" s="12" t="s">
        <v>870</v>
      </c>
      <c r="D75" s="14" t="s">
        <v>1624</v>
      </c>
      <c r="E75" s="12" t="s">
        <v>2214</v>
      </c>
      <c r="F75" s="13" t="s">
        <v>1655</v>
      </c>
      <c r="G75" s="15" t="s">
        <v>2289</v>
      </c>
      <c r="H75" s="15" t="s">
        <v>2645</v>
      </c>
      <c r="I75" s="15" t="s">
        <v>1925</v>
      </c>
      <c r="J75" s="16"/>
    </row>
    <row r="76" spans="1:10" x14ac:dyDescent="0.3">
      <c r="A76" s="12" t="s">
        <v>3236</v>
      </c>
      <c r="B76" s="12" t="s">
        <v>865</v>
      </c>
      <c r="C76" s="12" t="s">
        <v>870</v>
      </c>
      <c r="D76" s="14" t="s">
        <v>1629</v>
      </c>
      <c r="E76" s="12" t="s">
        <v>2214</v>
      </c>
      <c r="F76" s="13" t="s">
        <v>1656</v>
      </c>
      <c r="G76" s="15" t="s">
        <v>2290</v>
      </c>
      <c r="H76" s="15" t="s">
        <v>2646</v>
      </c>
      <c r="I76" s="15" t="s">
        <v>1926</v>
      </c>
      <c r="J76" s="16"/>
    </row>
    <row r="77" spans="1:10" x14ac:dyDescent="0.3">
      <c r="A77" s="12" t="s">
        <v>3237</v>
      </c>
      <c r="B77" s="12" t="s">
        <v>865</v>
      </c>
      <c r="C77" s="12" t="s">
        <v>870</v>
      </c>
      <c r="D77" s="14" t="s">
        <v>1629</v>
      </c>
      <c r="E77" s="12" t="s">
        <v>2214</v>
      </c>
      <c r="F77" s="13" t="s">
        <v>1657</v>
      </c>
      <c r="G77" s="15" t="s">
        <v>2291</v>
      </c>
      <c r="H77" s="15" t="s">
        <v>2647</v>
      </c>
      <c r="I77" s="15" t="s">
        <v>1927</v>
      </c>
      <c r="J77" s="16"/>
    </row>
    <row r="78" spans="1:10" x14ac:dyDescent="0.3">
      <c r="A78" s="12" t="s">
        <v>3238</v>
      </c>
      <c r="B78" s="12" t="s">
        <v>865</v>
      </c>
      <c r="C78" s="12" t="s">
        <v>870</v>
      </c>
      <c r="D78" s="14" t="s">
        <v>1629</v>
      </c>
      <c r="E78" s="12" t="s">
        <v>2214</v>
      </c>
      <c r="F78" s="13" t="s">
        <v>1658</v>
      </c>
      <c r="G78" s="15" t="s">
        <v>2292</v>
      </c>
      <c r="H78" s="15" t="s">
        <v>2648</v>
      </c>
      <c r="I78" s="15" t="s">
        <v>1928</v>
      </c>
      <c r="J78" s="16"/>
    </row>
    <row r="79" spans="1:10" x14ac:dyDescent="0.3">
      <c r="A79" s="12" t="s">
        <v>3239</v>
      </c>
      <c r="B79" s="12" t="s">
        <v>865</v>
      </c>
      <c r="C79" s="12" t="s">
        <v>870</v>
      </c>
      <c r="D79" s="14" t="s">
        <v>1629</v>
      </c>
      <c r="E79" s="12" t="s">
        <v>2214</v>
      </c>
      <c r="F79" s="13" t="s">
        <v>1659</v>
      </c>
      <c r="G79" s="15" t="s">
        <v>2293</v>
      </c>
      <c r="H79" s="15" t="s">
        <v>2649</v>
      </c>
      <c r="I79" s="15" t="s">
        <v>1929</v>
      </c>
      <c r="J79" s="16"/>
    </row>
    <row r="80" spans="1:10" x14ac:dyDescent="0.3">
      <c r="A80" s="12" t="s">
        <v>3240</v>
      </c>
      <c r="B80" s="12" t="s">
        <v>865</v>
      </c>
      <c r="C80" s="12" t="s">
        <v>870</v>
      </c>
      <c r="D80" s="14" t="s">
        <v>1629</v>
      </c>
      <c r="E80" s="12" t="s">
        <v>2214</v>
      </c>
      <c r="F80" s="13" t="s">
        <v>1660</v>
      </c>
      <c r="G80" s="15" t="s">
        <v>2294</v>
      </c>
      <c r="H80" s="15" t="s">
        <v>2650</v>
      </c>
      <c r="I80" s="15" t="s">
        <v>1930</v>
      </c>
      <c r="J80" s="16"/>
    </row>
    <row r="81" spans="1:10" x14ac:dyDescent="0.3">
      <c r="A81" s="12" t="s">
        <v>3241</v>
      </c>
      <c r="B81" s="12" t="s">
        <v>865</v>
      </c>
      <c r="C81" s="12" t="s">
        <v>870</v>
      </c>
      <c r="D81" s="14" t="s">
        <v>1629</v>
      </c>
      <c r="E81" s="12" t="s">
        <v>2214</v>
      </c>
      <c r="F81" s="13" t="s">
        <v>1661</v>
      </c>
      <c r="G81" s="15" t="s">
        <v>2295</v>
      </c>
      <c r="H81" s="15" t="s">
        <v>2651</v>
      </c>
      <c r="I81" s="15" t="s">
        <v>1931</v>
      </c>
      <c r="J81" s="16"/>
    </row>
    <row r="82" spans="1:10" x14ac:dyDescent="0.3">
      <c r="A82" s="12" t="s">
        <v>3242</v>
      </c>
      <c r="B82" s="12" t="s">
        <v>865</v>
      </c>
      <c r="C82" s="12" t="s">
        <v>870</v>
      </c>
      <c r="D82" s="14" t="s">
        <v>1624</v>
      </c>
      <c r="E82" s="12" t="s">
        <v>2214</v>
      </c>
      <c r="F82" s="13" t="s">
        <v>1662</v>
      </c>
      <c r="G82" s="15" t="s">
        <v>2296</v>
      </c>
      <c r="H82" s="15" t="s">
        <v>2652</v>
      </c>
      <c r="I82" s="15" t="s">
        <v>1932</v>
      </c>
      <c r="J82" s="16"/>
    </row>
    <row r="83" spans="1:10" x14ac:dyDescent="0.3">
      <c r="A83" s="12" t="s">
        <v>3243</v>
      </c>
      <c r="B83" s="12" t="s">
        <v>865</v>
      </c>
      <c r="C83" s="12" t="s">
        <v>870</v>
      </c>
      <c r="D83" s="14" t="s">
        <v>1629</v>
      </c>
      <c r="E83" s="12" t="s">
        <v>2214</v>
      </c>
      <c r="F83" s="13" t="s">
        <v>1663</v>
      </c>
      <c r="G83" s="15" t="s">
        <v>2297</v>
      </c>
      <c r="H83" s="15" t="s">
        <v>2653</v>
      </c>
      <c r="I83" s="15" t="s">
        <v>1933</v>
      </c>
      <c r="J83" s="16"/>
    </row>
    <row r="84" spans="1:10" x14ac:dyDescent="0.3">
      <c r="A84" s="12" t="s">
        <v>3244</v>
      </c>
      <c r="B84" s="12" t="s">
        <v>865</v>
      </c>
      <c r="C84" s="12" t="s">
        <v>870</v>
      </c>
      <c r="D84" s="14" t="s">
        <v>1629</v>
      </c>
      <c r="E84" s="12" t="s">
        <v>2214</v>
      </c>
      <c r="F84" s="13" t="s">
        <v>1664</v>
      </c>
      <c r="G84" s="15" t="s">
        <v>2298</v>
      </c>
      <c r="H84" s="15" t="s">
        <v>2654</v>
      </c>
      <c r="I84" s="15" t="s">
        <v>1934</v>
      </c>
      <c r="J84" s="16"/>
    </row>
    <row r="85" spans="1:10" x14ac:dyDescent="0.3">
      <c r="A85" s="12" t="s">
        <v>3245</v>
      </c>
      <c r="B85" s="12" t="s">
        <v>865</v>
      </c>
      <c r="C85" s="12" t="s">
        <v>870</v>
      </c>
      <c r="D85" s="14" t="s">
        <v>1629</v>
      </c>
      <c r="E85" s="12" t="s">
        <v>2214</v>
      </c>
      <c r="F85" s="13" t="s">
        <v>1665</v>
      </c>
      <c r="G85" s="15" t="s">
        <v>2299</v>
      </c>
      <c r="H85" s="15" t="s">
        <v>2655</v>
      </c>
      <c r="I85" s="15" t="s">
        <v>1935</v>
      </c>
      <c r="J85" s="16"/>
    </row>
    <row r="86" spans="1:10" x14ac:dyDescent="0.3">
      <c r="A86" s="12" t="s">
        <v>3246</v>
      </c>
      <c r="B86" s="12" t="s">
        <v>865</v>
      </c>
      <c r="C86" s="12" t="s">
        <v>870</v>
      </c>
      <c r="D86" s="14" t="s">
        <v>1629</v>
      </c>
      <c r="E86" s="12" t="s">
        <v>2214</v>
      </c>
      <c r="F86" s="13" t="s">
        <v>1666</v>
      </c>
      <c r="G86" s="15" t="s">
        <v>2300</v>
      </c>
      <c r="H86" s="15" t="s">
        <v>2656</v>
      </c>
      <c r="I86" s="15" t="s">
        <v>1936</v>
      </c>
      <c r="J86" s="16"/>
    </row>
    <row r="87" spans="1:10" x14ac:dyDescent="0.3">
      <c r="A87" s="12" t="s">
        <v>3247</v>
      </c>
      <c r="B87" s="12" t="s">
        <v>865</v>
      </c>
      <c r="C87" s="12" t="s">
        <v>870</v>
      </c>
      <c r="D87" s="14" t="s">
        <v>1629</v>
      </c>
      <c r="E87" s="12" t="s">
        <v>2214</v>
      </c>
      <c r="F87" s="13" t="s">
        <v>1667</v>
      </c>
      <c r="G87" s="15" t="s">
        <v>2301</v>
      </c>
      <c r="H87" s="15" t="s">
        <v>2657</v>
      </c>
      <c r="I87" s="15" t="s">
        <v>1937</v>
      </c>
      <c r="J87" s="16"/>
    </row>
    <row r="88" spans="1:10" x14ac:dyDescent="0.3">
      <c r="A88" s="12" t="s">
        <v>3248</v>
      </c>
      <c r="B88" s="12" t="s">
        <v>865</v>
      </c>
      <c r="C88" s="12" t="s">
        <v>870</v>
      </c>
      <c r="D88" s="14" t="s">
        <v>1629</v>
      </c>
      <c r="E88" s="12" t="s">
        <v>2214</v>
      </c>
      <c r="F88" s="13" t="s">
        <v>1668</v>
      </c>
      <c r="G88" s="15" t="s">
        <v>2302</v>
      </c>
      <c r="H88" s="15" t="s">
        <v>2658</v>
      </c>
      <c r="I88" s="15" t="s">
        <v>1938</v>
      </c>
      <c r="J88" s="16"/>
    </row>
    <row r="89" spans="1:10" x14ac:dyDescent="0.3">
      <c r="A89" s="12" t="s">
        <v>3249</v>
      </c>
      <c r="B89" s="12" t="s">
        <v>865</v>
      </c>
      <c r="C89" s="12" t="s">
        <v>870</v>
      </c>
      <c r="D89" s="14" t="s">
        <v>1624</v>
      </c>
      <c r="E89" s="12" t="s">
        <v>2214</v>
      </c>
      <c r="F89" s="13" t="s">
        <v>1621</v>
      </c>
      <c r="G89" s="15" t="s">
        <v>2303</v>
      </c>
      <c r="H89" s="15" t="s">
        <v>2659</v>
      </c>
      <c r="I89" s="15" t="s">
        <v>1939</v>
      </c>
      <c r="J89" s="16"/>
    </row>
    <row r="90" spans="1:10" x14ac:dyDescent="0.3">
      <c r="A90" s="12" t="s">
        <v>3250</v>
      </c>
      <c r="B90" s="12" t="s">
        <v>865</v>
      </c>
      <c r="C90" s="12" t="s">
        <v>870</v>
      </c>
      <c r="D90" s="14" t="s">
        <v>1629</v>
      </c>
      <c r="E90" s="12" t="s">
        <v>2214</v>
      </c>
      <c r="F90" s="13" t="s">
        <v>1669</v>
      </c>
      <c r="G90" s="15" t="s">
        <v>2304</v>
      </c>
      <c r="H90" s="15" t="s">
        <v>2660</v>
      </c>
      <c r="I90" s="15" t="s">
        <v>1940</v>
      </c>
      <c r="J90" s="16"/>
    </row>
    <row r="91" spans="1:10" x14ac:dyDescent="0.3">
      <c r="A91" s="12" t="s">
        <v>3251</v>
      </c>
      <c r="B91" s="12" t="s">
        <v>865</v>
      </c>
      <c r="C91" s="12" t="s">
        <v>870</v>
      </c>
      <c r="D91" s="14" t="s">
        <v>1629</v>
      </c>
      <c r="E91" s="12" t="s">
        <v>2214</v>
      </c>
      <c r="F91" s="13" t="s">
        <v>1670</v>
      </c>
      <c r="G91" s="15" t="s">
        <v>2305</v>
      </c>
      <c r="H91" s="15" t="s">
        <v>2661</v>
      </c>
      <c r="I91" s="15" t="s">
        <v>1941</v>
      </c>
      <c r="J91" s="16"/>
    </row>
    <row r="92" spans="1:10" x14ac:dyDescent="0.3">
      <c r="A92" s="12" t="s">
        <v>3252</v>
      </c>
      <c r="B92" s="12" t="s">
        <v>865</v>
      </c>
      <c r="C92" s="12" t="s">
        <v>870</v>
      </c>
      <c r="D92" s="14" t="s">
        <v>1629</v>
      </c>
      <c r="E92" s="12" t="s">
        <v>2214</v>
      </c>
      <c r="F92" s="13" t="s">
        <v>1671</v>
      </c>
      <c r="G92" s="15" t="s">
        <v>2306</v>
      </c>
      <c r="H92" s="15" t="s">
        <v>2662</v>
      </c>
      <c r="I92" s="15" t="s">
        <v>1942</v>
      </c>
      <c r="J92" s="16"/>
    </row>
    <row r="93" spans="1:10" x14ac:dyDescent="0.3">
      <c r="A93" s="12" t="s">
        <v>3253</v>
      </c>
      <c r="B93" s="12" t="s">
        <v>865</v>
      </c>
      <c r="C93" s="12" t="s">
        <v>870</v>
      </c>
      <c r="D93" s="14" t="s">
        <v>1629</v>
      </c>
      <c r="E93" s="12" t="s">
        <v>2214</v>
      </c>
      <c r="F93" s="13" t="s">
        <v>1672</v>
      </c>
      <c r="G93" s="15" t="s">
        <v>2307</v>
      </c>
      <c r="H93" s="15" t="s">
        <v>2663</v>
      </c>
      <c r="I93" s="15" t="s">
        <v>1943</v>
      </c>
      <c r="J93" s="16"/>
    </row>
    <row r="94" spans="1:10" x14ac:dyDescent="0.3">
      <c r="A94" s="12" t="s">
        <v>3254</v>
      </c>
      <c r="B94" s="12" t="s">
        <v>865</v>
      </c>
      <c r="C94" s="12" t="s">
        <v>870</v>
      </c>
      <c r="D94" s="14" t="s">
        <v>1629</v>
      </c>
      <c r="E94" s="12" t="s">
        <v>2214</v>
      </c>
      <c r="F94" s="13" t="s">
        <v>1673</v>
      </c>
      <c r="G94" s="15" t="s">
        <v>2308</v>
      </c>
      <c r="H94" s="15" t="s">
        <v>2664</v>
      </c>
      <c r="I94" s="15" t="s">
        <v>1944</v>
      </c>
      <c r="J94" s="16"/>
    </row>
    <row r="95" spans="1:10" x14ac:dyDescent="0.3">
      <c r="A95" s="12" t="s">
        <v>3255</v>
      </c>
      <c r="B95" s="12" t="s">
        <v>865</v>
      </c>
      <c r="C95" s="12" t="s">
        <v>870</v>
      </c>
      <c r="D95" s="14" t="s">
        <v>1629</v>
      </c>
      <c r="E95" s="12" t="s">
        <v>2214</v>
      </c>
      <c r="F95" s="13" t="s">
        <v>1674</v>
      </c>
      <c r="G95" s="15" t="s">
        <v>2309</v>
      </c>
      <c r="H95" s="15" t="s">
        <v>2665</v>
      </c>
      <c r="I95" s="15" t="s">
        <v>1945</v>
      </c>
      <c r="J95" s="16"/>
    </row>
    <row r="96" spans="1:10" x14ac:dyDescent="0.3">
      <c r="A96" s="12" t="s">
        <v>3256</v>
      </c>
      <c r="B96" s="12" t="s">
        <v>865</v>
      </c>
      <c r="C96" s="12" t="s">
        <v>870</v>
      </c>
      <c r="D96" s="14" t="s">
        <v>1624</v>
      </c>
      <c r="E96" s="12" t="s">
        <v>2214</v>
      </c>
      <c r="F96" s="13" t="s">
        <v>1675</v>
      </c>
      <c r="G96" s="15" t="s">
        <v>2310</v>
      </c>
      <c r="H96" s="15" t="s">
        <v>2666</v>
      </c>
      <c r="I96" s="15" t="s">
        <v>1946</v>
      </c>
      <c r="J96" s="16"/>
    </row>
    <row r="97" spans="1:10" x14ac:dyDescent="0.3">
      <c r="A97" s="12" t="s">
        <v>3257</v>
      </c>
      <c r="B97" s="12" t="s">
        <v>865</v>
      </c>
      <c r="C97" s="12" t="s">
        <v>870</v>
      </c>
      <c r="D97" s="14" t="s">
        <v>1629</v>
      </c>
      <c r="E97" s="12" t="s">
        <v>2214</v>
      </c>
      <c r="F97" s="13" t="s">
        <v>1676</v>
      </c>
      <c r="G97" s="15" t="s">
        <v>2311</v>
      </c>
      <c r="H97" s="15" t="s">
        <v>2667</v>
      </c>
      <c r="I97" s="15" t="s">
        <v>1947</v>
      </c>
      <c r="J97" s="16"/>
    </row>
    <row r="98" spans="1:10" x14ac:dyDescent="0.3">
      <c r="A98" s="12" t="s">
        <v>3258</v>
      </c>
      <c r="B98" s="12" t="s">
        <v>865</v>
      </c>
      <c r="C98" s="12" t="s">
        <v>870</v>
      </c>
      <c r="D98" s="14" t="s">
        <v>1629</v>
      </c>
      <c r="E98" s="12" t="s">
        <v>2214</v>
      </c>
      <c r="F98" s="13" t="s">
        <v>1677</v>
      </c>
      <c r="G98" s="15" t="s">
        <v>2312</v>
      </c>
      <c r="H98" s="15" t="s">
        <v>2668</v>
      </c>
      <c r="I98" s="15" t="s">
        <v>1948</v>
      </c>
      <c r="J98" s="16"/>
    </row>
    <row r="99" spans="1:10" x14ac:dyDescent="0.3">
      <c r="A99" s="12" t="s">
        <v>3259</v>
      </c>
      <c r="B99" s="12" t="s">
        <v>865</v>
      </c>
      <c r="C99" s="12" t="s">
        <v>870</v>
      </c>
      <c r="D99" s="14" t="s">
        <v>1629</v>
      </c>
      <c r="E99" s="12" t="s">
        <v>2214</v>
      </c>
      <c r="F99" s="13" t="s">
        <v>1678</v>
      </c>
      <c r="G99" s="15" t="s">
        <v>2313</v>
      </c>
      <c r="H99" s="15" t="s">
        <v>2669</v>
      </c>
      <c r="I99" s="15" t="s">
        <v>1949</v>
      </c>
      <c r="J99" s="16"/>
    </row>
    <row r="100" spans="1:10" x14ac:dyDescent="0.3">
      <c r="A100" s="12" t="s">
        <v>3260</v>
      </c>
      <c r="B100" s="12" t="s">
        <v>865</v>
      </c>
      <c r="C100" s="12" t="s">
        <v>870</v>
      </c>
      <c r="D100" s="14" t="s">
        <v>1629</v>
      </c>
      <c r="E100" s="12" t="s">
        <v>2214</v>
      </c>
      <c r="F100" s="13" t="s">
        <v>1679</v>
      </c>
      <c r="G100" s="15" t="s">
        <v>2314</v>
      </c>
      <c r="H100" s="15" t="s">
        <v>2670</v>
      </c>
      <c r="I100" s="15" t="s">
        <v>1950</v>
      </c>
      <c r="J100" s="16"/>
    </row>
    <row r="101" spans="1:10" x14ac:dyDescent="0.3">
      <c r="A101" s="12" t="s">
        <v>3261</v>
      </c>
      <c r="B101" s="12" t="s">
        <v>865</v>
      </c>
      <c r="C101" s="12" t="s">
        <v>870</v>
      </c>
      <c r="D101" s="14" t="s">
        <v>1629</v>
      </c>
      <c r="E101" s="12" t="s">
        <v>2214</v>
      </c>
      <c r="F101" s="13" t="s">
        <v>1680</v>
      </c>
      <c r="G101" s="15" t="s">
        <v>2315</v>
      </c>
      <c r="H101" s="15" t="s">
        <v>2671</v>
      </c>
      <c r="I101" s="15" t="s">
        <v>1951</v>
      </c>
      <c r="J101" s="16"/>
    </row>
    <row r="102" spans="1:10" x14ac:dyDescent="0.3">
      <c r="A102" s="12" t="s">
        <v>3262</v>
      </c>
      <c r="B102" s="12" t="s">
        <v>865</v>
      </c>
      <c r="C102" s="12" t="s">
        <v>870</v>
      </c>
      <c r="D102" s="14" t="s">
        <v>1629</v>
      </c>
      <c r="E102" s="12" t="s">
        <v>2214</v>
      </c>
      <c r="F102" s="13" t="s">
        <v>1681</v>
      </c>
      <c r="G102" s="15" t="s">
        <v>2316</v>
      </c>
      <c r="H102" s="15" t="s">
        <v>2672</v>
      </c>
      <c r="I102" s="15" t="s">
        <v>1952</v>
      </c>
      <c r="J102" s="16"/>
    </row>
    <row r="103" spans="1:10" x14ac:dyDescent="0.3">
      <c r="A103" s="12" t="s">
        <v>3263</v>
      </c>
      <c r="B103" s="12" t="s">
        <v>865</v>
      </c>
      <c r="C103" s="12" t="s">
        <v>870</v>
      </c>
      <c r="D103" s="14" t="s">
        <v>1624</v>
      </c>
      <c r="E103" s="12" t="s">
        <v>2214</v>
      </c>
      <c r="F103" s="13" t="s">
        <v>1682</v>
      </c>
      <c r="G103" s="15" t="s">
        <v>2317</v>
      </c>
      <c r="H103" s="15" t="s">
        <v>2673</v>
      </c>
      <c r="I103" s="15" t="s">
        <v>1953</v>
      </c>
      <c r="J103" s="16"/>
    </row>
    <row r="104" spans="1:10" x14ac:dyDescent="0.3">
      <c r="A104" s="12" t="s">
        <v>3264</v>
      </c>
      <c r="B104" s="12" t="s">
        <v>865</v>
      </c>
      <c r="C104" s="12" t="s">
        <v>870</v>
      </c>
      <c r="D104" s="14" t="s">
        <v>1629</v>
      </c>
      <c r="E104" s="12" t="s">
        <v>2214</v>
      </c>
      <c r="F104" s="13" t="s">
        <v>1683</v>
      </c>
      <c r="G104" s="15" t="s">
        <v>2318</v>
      </c>
      <c r="H104" s="15" t="s">
        <v>2674</v>
      </c>
      <c r="I104" s="15" t="s">
        <v>1954</v>
      </c>
      <c r="J104" s="16"/>
    </row>
    <row r="105" spans="1:10" x14ac:dyDescent="0.3">
      <c r="A105" s="12" t="s">
        <v>3265</v>
      </c>
      <c r="B105" s="12" t="s">
        <v>865</v>
      </c>
      <c r="C105" s="12" t="s">
        <v>870</v>
      </c>
      <c r="D105" s="14" t="s">
        <v>1629</v>
      </c>
      <c r="E105" s="12" t="s">
        <v>2214</v>
      </c>
      <c r="F105" s="13" t="s">
        <v>1684</v>
      </c>
      <c r="G105" s="15" t="s">
        <v>2319</v>
      </c>
      <c r="H105" s="15" t="s">
        <v>2675</v>
      </c>
      <c r="I105" s="15" t="s">
        <v>1955</v>
      </c>
      <c r="J105" s="16"/>
    </row>
    <row r="106" spans="1:10" x14ac:dyDescent="0.3">
      <c r="A106" s="12" t="s">
        <v>3266</v>
      </c>
      <c r="B106" s="12" t="s">
        <v>865</v>
      </c>
      <c r="C106" s="12" t="s">
        <v>870</v>
      </c>
      <c r="D106" s="14" t="s">
        <v>1629</v>
      </c>
      <c r="E106" s="12" t="s">
        <v>2214</v>
      </c>
      <c r="F106" s="13" t="s">
        <v>1685</v>
      </c>
      <c r="G106" s="15" t="s">
        <v>2320</v>
      </c>
      <c r="H106" s="15" t="s">
        <v>2676</v>
      </c>
      <c r="I106" s="15" t="s">
        <v>1956</v>
      </c>
      <c r="J106" s="16"/>
    </row>
    <row r="107" spans="1:10" x14ac:dyDescent="0.3">
      <c r="A107" s="12" t="s">
        <v>3267</v>
      </c>
      <c r="B107" s="12" t="s">
        <v>865</v>
      </c>
      <c r="C107" s="12" t="s">
        <v>870</v>
      </c>
      <c r="D107" s="14" t="s">
        <v>1629</v>
      </c>
      <c r="E107" s="12" t="s">
        <v>2214</v>
      </c>
      <c r="F107" s="13" t="s">
        <v>1686</v>
      </c>
      <c r="G107" s="15" t="s">
        <v>2321</v>
      </c>
      <c r="H107" s="15" t="s">
        <v>2677</v>
      </c>
      <c r="I107" s="15" t="s">
        <v>1957</v>
      </c>
      <c r="J107" s="16"/>
    </row>
    <row r="108" spans="1:10" x14ac:dyDescent="0.3">
      <c r="A108" s="12" t="s">
        <v>3268</v>
      </c>
      <c r="B108" s="12" t="s">
        <v>865</v>
      </c>
      <c r="C108" s="12" t="s">
        <v>870</v>
      </c>
      <c r="D108" s="14" t="s">
        <v>1629</v>
      </c>
      <c r="E108" s="12" t="s">
        <v>2214</v>
      </c>
      <c r="F108" s="13" t="s">
        <v>1687</v>
      </c>
      <c r="G108" s="15" t="s">
        <v>2322</v>
      </c>
      <c r="H108" s="15" t="s">
        <v>2678</v>
      </c>
      <c r="I108" s="15" t="s">
        <v>1958</v>
      </c>
      <c r="J108" s="16"/>
    </row>
    <row r="109" spans="1:10" x14ac:dyDescent="0.3">
      <c r="A109" s="12" t="s">
        <v>3269</v>
      </c>
      <c r="B109" s="12" t="s">
        <v>865</v>
      </c>
      <c r="C109" s="12" t="s">
        <v>870</v>
      </c>
      <c r="D109" s="14" t="s">
        <v>1629</v>
      </c>
      <c r="E109" s="12" t="s">
        <v>2214</v>
      </c>
      <c r="F109" s="13" t="s">
        <v>1688</v>
      </c>
      <c r="G109" s="15" t="s">
        <v>2323</v>
      </c>
      <c r="H109" s="15" t="s">
        <v>2679</v>
      </c>
      <c r="I109" s="15" t="s">
        <v>1959</v>
      </c>
      <c r="J109" s="16"/>
    </row>
    <row r="110" spans="1:10" x14ac:dyDescent="0.3">
      <c r="A110" s="12" t="s">
        <v>3270</v>
      </c>
      <c r="B110" s="12" t="s">
        <v>865</v>
      </c>
      <c r="C110" s="12" t="s">
        <v>870</v>
      </c>
      <c r="D110" s="14" t="s">
        <v>1624</v>
      </c>
      <c r="E110" s="12" t="s">
        <v>2214</v>
      </c>
      <c r="F110" s="13" t="s">
        <v>1689</v>
      </c>
      <c r="G110" s="15" t="s">
        <v>2324</v>
      </c>
      <c r="H110" s="15" t="s">
        <v>2680</v>
      </c>
      <c r="I110" s="15" t="s">
        <v>1960</v>
      </c>
      <c r="J110" s="16"/>
    </row>
    <row r="111" spans="1:10" x14ac:dyDescent="0.3">
      <c r="A111" s="12" t="s">
        <v>3271</v>
      </c>
      <c r="B111" s="12" t="s">
        <v>865</v>
      </c>
      <c r="C111" s="12" t="s">
        <v>870</v>
      </c>
      <c r="D111" s="14" t="s">
        <v>1629</v>
      </c>
      <c r="E111" s="12" t="s">
        <v>2214</v>
      </c>
      <c r="F111" s="13" t="s">
        <v>1690</v>
      </c>
      <c r="G111" s="15" t="s">
        <v>2325</v>
      </c>
      <c r="H111" s="15" t="s">
        <v>2681</v>
      </c>
      <c r="I111" s="15" t="s">
        <v>1961</v>
      </c>
      <c r="J111" s="16"/>
    </row>
    <row r="112" spans="1:10" x14ac:dyDescent="0.3">
      <c r="A112" s="12" t="s">
        <v>3272</v>
      </c>
      <c r="B112" s="12" t="s">
        <v>865</v>
      </c>
      <c r="C112" s="12" t="s">
        <v>870</v>
      </c>
      <c r="D112" s="14" t="s">
        <v>1629</v>
      </c>
      <c r="E112" s="12" t="s">
        <v>2214</v>
      </c>
      <c r="F112" s="13" t="s">
        <v>1691</v>
      </c>
      <c r="G112" s="15" t="s">
        <v>2326</v>
      </c>
      <c r="H112" s="15" t="s">
        <v>2682</v>
      </c>
      <c r="I112" s="15" t="s">
        <v>1962</v>
      </c>
      <c r="J112" s="16"/>
    </row>
    <row r="113" spans="1:10" x14ac:dyDescent="0.3">
      <c r="A113" s="12" t="s">
        <v>3273</v>
      </c>
      <c r="B113" s="12" t="s">
        <v>865</v>
      </c>
      <c r="C113" s="12" t="s">
        <v>870</v>
      </c>
      <c r="D113" s="14" t="s">
        <v>1629</v>
      </c>
      <c r="E113" s="12" t="s">
        <v>2214</v>
      </c>
      <c r="F113" s="13" t="s">
        <v>1692</v>
      </c>
      <c r="G113" s="15" t="s">
        <v>2327</v>
      </c>
      <c r="H113" s="15" t="s">
        <v>2683</v>
      </c>
      <c r="I113" s="15" t="s">
        <v>1963</v>
      </c>
      <c r="J113" s="16"/>
    </row>
    <row r="114" spans="1:10" x14ac:dyDescent="0.3">
      <c r="A114" s="12" t="s">
        <v>3274</v>
      </c>
      <c r="B114" s="12" t="s">
        <v>865</v>
      </c>
      <c r="C114" s="12" t="s">
        <v>870</v>
      </c>
      <c r="D114" s="14" t="s">
        <v>1629</v>
      </c>
      <c r="E114" s="12" t="s">
        <v>2214</v>
      </c>
      <c r="F114" s="13" t="s">
        <v>1693</v>
      </c>
      <c r="G114" s="15" t="s">
        <v>2328</v>
      </c>
      <c r="H114" s="15" t="s">
        <v>2684</v>
      </c>
      <c r="I114" s="15" t="s">
        <v>1964</v>
      </c>
      <c r="J114" s="16"/>
    </row>
    <row r="115" spans="1:10" x14ac:dyDescent="0.3">
      <c r="A115" s="12" t="s">
        <v>3275</v>
      </c>
      <c r="B115" s="12" t="s">
        <v>865</v>
      </c>
      <c r="C115" s="12" t="s">
        <v>870</v>
      </c>
      <c r="D115" s="14" t="s">
        <v>1629</v>
      </c>
      <c r="E115" s="12" t="s">
        <v>2214</v>
      </c>
      <c r="F115" s="13" t="s">
        <v>1694</v>
      </c>
      <c r="G115" s="15" t="s">
        <v>2329</v>
      </c>
      <c r="H115" s="15" t="s">
        <v>2685</v>
      </c>
      <c r="I115" s="15" t="s">
        <v>1965</v>
      </c>
      <c r="J115" s="16"/>
    </row>
    <row r="116" spans="1:10" x14ac:dyDescent="0.3">
      <c r="A116" s="12" t="s">
        <v>3276</v>
      </c>
      <c r="B116" s="12" t="s">
        <v>865</v>
      </c>
      <c r="C116" s="12" t="s">
        <v>870</v>
      </c>
      <c r="D116" s="14" t="s">
        <v>1629</v>
      </c>
      <c r="E116" s="12" t="s">
        <v>2214</v>
      </c>
      <c r="F116" s="13" t="s">
        <v>1695</v>
      </c>
      <c r="G116" s="15" t="s">
        <v>2330</v>
      </c>
      <c r="H116" s="15" t="s">
        <v>2686</v>
      </c>
      <c r="I116" s="15" t="s">
        <v>1966</v>
      </c>
      <c r="J116" s="16"/>
    </row>
    <row r="117" spans="1:10" x14ac:dyDescent="0.3">
      <c r="A117" s="12" t="s">
        <v>3277</v>
      </c>
      <c r="B117" s="12" t="s">
        <v>865</v>
      </c>
      <c r="C117" s="12" t="s">
        <v>870</v>
      </c>
      <c r="D117" s="14" t="s">
        <v>1624</v>
      </c>
      <c r="E117" s="12" t="s">
        <v>2214</v>
      </c>
      <c r="F117" s="13" t="s">
        <v>1696</v>
      </c>
      <c r="G117" s="15" t="s">
        <v>2331</v>
      </c>
      <c r="H117" s="15" t="s">
        <v>2687</v>
      </c>
      <c r="I117" s="15" t="s">
        <v>1967</v>
      </c>
      <c r="J117" s="16"/>
    </row>
    <row r="118" spans="1:10" x14ac:dyDescent="0.3">
      <c r="A118" s="12" t="s">
        <v>3278</v>
      </c>
      <c r="B118" s="12" t="s">
        <v>865</v>
      </c>
      <c r="C118" s="12" t="s">
        <v>870</v>
      </c>
      <c r="D118" s="14" t="s">
        <v>1629</v>
      </c>
      <c r="E118" s="12" t="s">
        <v>2214</v>
      </c>
      <c r="F118" s="13" t="s">
        <v>1697</v>
      </c>
      <c r="G118" s="15" t="s">
        <v>2332</v>
      </c>
      <c r="H118" s="15" t="s">
        <v>2688</v>
      </c>
      <c r="I118" s="15" t="s">
        <v>1968</v>
      </c>
      <c r="J118" s="16"/>
    </row>
    <row r="119" spans="1:10" x14ac:dyDescent="0.3">
      <c r="A119" s="12" t="s">
        <v>3279</v>
      </c>
      <c r="B119" s="12" t="s">
        <v>865</v>
      </c>
      <c r="C119" s="12" t="s">
        <v>870</v>
      </c>
      <c r="D119" s="14" t="s">
        <v>1629</v>
      </c>
      <c r="E119" s="12" t="s">
        <v>2214</v>
      </c>
      <c r="F119" s="13" t="s">
        <v>1698</v>
      </c>
      <c r="G119" s="15" t="s">
        <v>2333</v>
      </c>
      <c r="H119" s="15" t="s">
        <v>2689</v>
      </c>
      <c r="I119" s="15" t="s">
        <v>1969</v>
      </c>
      <c r="J119" s="16"/>
    </row>
    <row r="120" spans="1:10" x14ac:dyDescent="0.3">
      <c r="A120" s="12" t="s">
        <v>3280</v>
      </c>
      <c r="B120" s="12" t="s">
        <v>865</v>
      </c>
      <c r="C120" s="12" t="s">
        <v>870</v>
      </c>
      <c r="D120" s="14" t="s">
        <v>1629</v>
      </c>
      <c r="E120" s="12" t="s">
        <v>2214</v>
      </c>
      <c r="F120" s="13" t="s">
        <v>1699</v>
      </c>
      <c r="G120" s="15" t="s">
        <v>2334</v>
      </c>
      <c r="H120" s="15" t="s">
        <v>2690</v>
      </c>
      <c r="I120" s="15" t="s">
        <v>1970</v>
      </c>
      <c r="J120" s="16"/>
    </row>
    <row r="121" spans="1:10" x14ac:dyDescent="0.3">
      <c r="A121" s="12" t="s">
        <v>3281</v>
      </c>
      <c r="B121" s="12" t="s">
        <v>865</v>
      </c>
      <c r="C121" s="12" t="s">
        <v>870</v>
      </c>
      <c r="D121" s="14" t="s">
        <v>1629</v>
      </c>
      <c r="E121" s="12" t="s">
        <v>2214</v>
      </c>
      <c r="F121" s="13" t="s">
        <v>1700</v>
      </c>
      <c r="G121" s="15" t="s">
        <v>2335</v>
      </c>
      <c r="H121" s="15" t="s">
        <v>2691</v>
      </c>
      <c r="I121" s="15" t="s">
        <v>1971</v>
      </c>
      <c r="J121" s="16"/>
    </row>
    <row r="122" spans="1:10" x14ac:dyDescent="0.3">
      <c r="A122" s="12" t="s">
        <v>3282</v>
      </c>
      <c r="B122" s="12" t="s">
        <v>865</v>
      </c>
      <c r="C122" s="12" t="s">
        <v>870</v>
      </c>
      <c r="D122" s="14" t="s">
        <v>1629</v>
      </c>
      <c r="E122" s="12" t="s">
        <v>2214</v>
      </c>
      <c r="F122" s="13" t="s">
        <v>1701</v>
      </c>
      <c r="G122" s="15" t="s">
        <v>2336</v>
      </c>
      <c r="H122" s="15" t="s">
        <v>2692</v>
      </c>
      <c r="I122" s="15" t="s">
        <v>1972</v>
      </c>
      <c r="J122" s="16"/>
    </row>
    <row r="123" spans="1:10" x14ac:dyDescent="0.3">
      <c r="A123" s="12" t="s">
        <v>3283</v>
      </c>
      <c r="B123" s="12" t="s">
        <v>865</v>
      </c>
      <c r="C123" s="12" t="s">
        <v>870</v>
      </c>
      <c r="D123" s="14" t="s">
        <v>1629</v>
      </c>
      <c r="E123" s="12" t="s">
        <v>2214</v>
      </c>
      <c r="F123" s="13" t="s">
        <v>1702</v>
      </c>
      <c r="G123" s="15" t="s">
        <v>2337</v>
      </c>
      <c r="H123" s="15" t="s">
        <v>2693</v>
      </c>
      <c r="I123" s="15" t="s">
        <v>1973</v>
      </c>
      <c r="J123" s="16"/>
    </row>
    <row r="124" spans="1:10" x14ac:dyDescent="0.3">
      <c r="A124" s="12" t="s">
        <v>3284</v>
      </c>
      <c r="B124" s="12" t="s">
        <v>865</v>
      </c>
      <c r="C124" s="12" t="s">
        <v>870</v>
      </c>
      <c r="D124" s="14" t="s">
        <v>1624</v>
      </c>
      <c r="E124" s="12" t="s">
        <v>2214</v>
      </c>
      <c r="F124" s="13" t="s">
        <v>1703</v>
      </c>
      <c r="G124" s="15" t="s">
        <v>2338</v>
      </c>
      <c r="H124" s="15" t="s">
        <v>2694</v>
      </c>
      <c r="I124" s="15" t="s">
        <v>1974</v>
      </c>
      <c r="J124" s="16"/>
    </row>
    <row r="125" spans="1:10" x14ac:dyDescent="0.3">
      <c r="A125" s="12" t="s">
        <v>3285</v>
      </c>
      <c r="B125" s="12" t="s">
        <v>865</v>
      </c>
      <c r="C125" s="12" t="s">
        <v>870</v>
      </c>
      <c r="D125" s="14" t="s">
        <v>1629</v>
      </c>
      <c r="E125" s="12" t="s">
        <v>2214</v>
      </c>
      <c r="F125" s="13" t="s">
        <v>1704</v>
      </c>
      <c r="G125" s="15" t="s">
        <v>2339</v>
      </c>
      <c r="H125" s="15" t="s">
        <v>2695</v>
      </c>
      <c r="I125" s="15" t="s">
        <v>1975</v>
      </c>
      <c r="J125" s="16"/>
    </row>
    <row r="126" spans="1:10" x14ac:dyDescent="0.3">
      <c r="A126" s="12" t="s">
        <v>3286</v>
      </c>
      <c r="B126" s="12" t="s">
        <v>865</v>
      </c>
      <c r="C126" s="12" t="s">
        <v>870</v>
      </c>
      <c r="D126" s="14" t="s">
        <v>1629</v>
      </c>
      <c r="E126" s="12" t="s">
        <v>2214</v>
      </c>
      <c r="F126" s="13" t="s">
        <v>1705</v>
      </c>
      <c r="G126" s="15" t="s">
        <v>2340</v>
      </c>
      <c r="H126" s="15" t="s">
        <v>2696</v>
      </c>
      <c r="I126" s="15" t="s">
        <v>1976</v>
      </c>
      <c r="J126" s="16"/>
    </row>
    <row r="127" spans="1:10" x14ac:dyDescent="0.3">
      <c r="A127" s="12" t="s">
        <v>3287</v>
      </c>
      <c r="B127" s="12" t="s">
        <v>865</v>
      </c>
      <c r="C127" s="12" t="s">
        <v>870</v>
      </c>
      <c r="D127" s="14" t="s">
        <v>1629</v>
      </c>
      <c r="E127" s="12" t="s">
        <v>2214</v>
      </c>
      <c r="F127" s="13" t="s">
        <v>1706</v>
      </c>
      <c r="G127" s="15" t="s">
        <v>2341</v>
      </c>
      <c r="H127" s="15" t="s">
        <v>2697</v>
      </c>
      <c r="I127" s="15" t="s">
        <v>1977</v>
      </c>
      <c r="J127" s="16"/>
    </row>
    <row r="128" spans="1:10" x14ac:dyDescent="0.3">
      <c r="A128" s="12" t="s">
        <v>3288</v>
      </c>
      <c r="B128" s="12" t="s">
        <v>865</v>
      </c>
      <c r="C128" s="12" t="s">
        <v>870</v>
      </c>
      <c r="D128" s="14" t="s">
        <v>1629</v>
      </c>
      <c r="E128" s="12" t="s">
        <v>2214</v>
      </c>
      <c r="F128" s="13" t="s">
        <v>1707</v>
      </c>
      <c r="G128" s="15" t="s">
        <v>2342</v>
      </c>
      <c r="H128" s="15" t="s">
        <v>2698</v>
      </c>
      <c r="I128" s="15" t="s">
        <v>1978</v>
      </c>
      <c r="J128" s="16"/>
    </row>
    <row r="129" spans="1:10" x14ac:dyDescent="0.3">
      <c r="A129" s="12" t="s">
        <v>3289</v>
      </c>
      <c r="B129" s="12" t="s">
        <v>865</v>
      </c>
      <c r="C129" s="12" t="s">
        <v>870</v>
      </c>
      <c r="D129" s="14" t="s">
        <v>1629</v>
      </c>
      <c r="E129" s="12" t="s">
        <v>2214</v>
      </c>
      <c r="F129" s="13" t="s">
        <v>1708</v>
      </c>
      <c r="G129" s="15" t="s">
        <v>2343</v>
      </c>
      <c r="H129" s="15" t="s">
        <v>2699</v>
      </c>
      <c r="I129" s="15" t="s">
        <v>1979</v>
      </c>
      <c r="J129" s="16"/>
    </row>
    <row r="130" spans="1:10" x14ac:dyDescent="0.3">
      <c r="A130" s="12" t="s">
        <v>3290</v>
      </c>
      <c r="B130" s="12" t="s">
        <v>865</v>
      </c>
      <c r="C130" s="12" t="s">
        <v>870</v>
      </c>
      <c r="D130" s="14" t="s">
        <v>1629</v>
      </c>
      <c r="E130" s="12" t="s">
        <v>2214</v>
      </c>
      <c r="F130" s="13" t="s">
        <v>1709</v>
      </c>
      <c r="G130" s="15" t="s">
        <v>2344</v>
      </c>
      <c r="H130" s="15" t="s">
        <v>2700</v>
      </c>
      <c r="I130" s="15" t="s">
        <v>1980</v>
      </c>
      <c r="J130" s="16"/>
    </row>
    <row r="131" spans="1:10" x14ac:dyDescent="0.3">
      <c r="A131" s="12" t="s">
        <v>3291</v>
      </c>
      <c r="B131" s="12" t="s">
        <v>865</v>
      </c>
      <c r="C131" s="12" t="s">
        <v>870</v>
      </c>
      <c r="D131" s="14" t="s">
        <v>1624</v>
      </c>
      <c r="E131" s="12" t="s">
        <v>2214</v>
      </c>
      <c r="F131" s="13" t="s">
        <v>1710</v>
      </c>
      <c r="G131" s="15" t="s">
        <v>2345</v>
      </c>
      <c r="H131" s="15" t="s">
        <v>2701</v>
      </c>
      <c r="I131" s="15" t="s">
        <v>1981</v>
      </c>
      <c r="J131" s="16"/>
    </row>
    <row r="132" spans="1:10" x14ac:dyDescent="0.3">
      <c r="A132" s="12" t="s">
        <v>3292</v>
      </c>
      <c r="B132" s="12" t="s">
        <v>865</v>
      </c>
      <c r="C132" s="12" t="s">
        <v>870</v>
      </c>
      <c r="D132" s="14" t="s">
        <v>1629</v>
      </c>
      <c r="E132" s="12" t="s">
        <v>2214</v>
      </c>
      <c r="F132" s="13" t="s">
        <v>1711</v>
      </c>
      <c r="G132" s="15" t="s">
        <v>2346</v>
      </c>
      <c r="H132" s="15" t="s">
        <v>2702</v>
      </c>
      <c r="I132" s="15" t="s">
        <v>1982</v>
      </c>
      <c r="J132" s="16"/>
    </row>
    <row r="133" spans="1:10" x14ac:dyDescent="0.3">
      <c r="A133" s="12" t="s">
        <v>3293</v>
      </c>
      <c r="B133" s="12" t="s">
        <v>865</v>
      </c>
      <c r="C133" s="12" t="s">
        <v>870</v>
      </c>
      <c r="D133" s="14" t="s">
        <v>1629</v>
      </c>
      <c r="E133" s="12" t="s">
        <v>2214</v>
      </c>
      <c r="F133" s="13" t="s">
        <v>1712</v>
      </c>
      <c r="G133" s="15" t="s">
        <v>2347</v>
      </c>
      <c r="H133" s="15" t="s">
        <v>2703</v>
      </c>
      <c r="I133" s="15" t="s">
        <v>1983</v>
      </c>
      <c r="J133" s="16"/>
    </row>
    <row r="134" spans="1:10" x14ac:dyDescent="0.3">
      <c r="A134" s="12" t="s">
        <v>3294</v>
      </c>
      <c r="B134" s="12" t="s">
        <v>865</v>
      </c>
      <c r="C134" s="12" t="s">
        <v>870</v>
      </c>
      <c r="D134" s="14" t="s">
        <v>1629</v>
      </c>
      <c r="E134" s="12" t="s">
        <v>2214</v>
      </c>
      <c r="F134" s="13" t="s">
        <v>1713</v>
      </c>
      <c r="G134" s="15" t="s">
        <v>2348</v>
      </c>
      <c r="H134" s="15" t="s">
        <v>2704</v>
      </c>
      <c r="I134" s="15" t="s">
        <v>1984</v>
      </c>
      <c r="J134" s="16"/>
    </row>
    <row r="135" spans="1:10" x14ac:dyDescent="0.3">
      <c r="A135" s="12" t="s">
        <v>3295</v>
      </c>
      <c r="B135" s="12" t="s">
        <v>865</v>
      </c>
      <c r="C135" s="12" t="s">
        <v>870</v>
      </c>
      <c r="D135" s="14" t="s">
        <v>1629</v>
      </c>
      <c r="E135" s="12" t="s">
        <v>2214</v>
      </c>
      <c r="F135" s="13" t="s">
        <v>1714</v>
      </c>
      <c r="G135" s="15" t="s">
        <v>2349</v>
      </c>
      <c r="H135" s="15" t="s">
        <v>2705</v>
      </c>
      <c r="I135" s="15" t="s">
        <v>1985</v>
      </c>
      <c r="J135" s="16"/>
    </row>
    <row r="136" spans="1:10" x14ac:dyDescent="0.3">
      <c r="A136" s="12" t="s">
        <v>3296</v>
      </c>
      <c r="B136" s="12" t="s">
        <v>865</v>
      </c>
      <c r="C136" s="12" t="s">
        <v>870</v>
      </c>
      <c r="D136" s="14" t="s">
        <v>1629</v>
      </c>
      <c r="E136" s="12" t="s">
        <v>2214</v>
      </c>
      <c r="F136" s="13" t="s">
        <v>1715</v>
      </c>
      <c r="G136" s="15" t="s">
        <v>2350</v>
      </c>
      <c r="H136" s="15" t="s">
        <v>2706</v>
      </c>
      <c r="I136" s="15" t="s">
        <v>1986</v>
      </c>
      <c r="J136" s="16"/>
    </row>
    <row r="137" spans="1:10" x14ac:dyDescent="0.3">
      <c r="A137" s="12" t="s">
        <v>3297</v>
      </c>
      <c r="B137" s="12" t="s">
        <v>865</v>
      </c>
      <c r="C137" s="12" t="s">
        <v>870</v>
      </c>
      <c r="D137" s="14" t="s">
        <v>1629</v>
      </c>
      <c r="E137" s="12" t="s">
        <v>2214</v>
      </c>
      <c r="F137" s="13" t="s">
        <v>1716</v>
      </c>
      <c r="G137" s="15" t="s">
        <v>2351</v>
      </c>
      <c r="H137" s="15" t="s">
        <v>2707</v>
      </c>
      <c r="I137" s="15" t="s">
        <v>1987</v>
      </c>
      <c r="J137" s="16"/>
    </row>
    <row r="138" spans="1:10" x14ac:dyDescent="0.3">
      <c r="A138" s="12" t="s">
        <v>3298</v>
      </c>
      <c r="B138" s="12" t="s">
        <v>865</v>
      </c>
      <c r="C138" s="12" t="s">
        <v>870</v>
      </c>
      <c r="D138" s="14" t="s">
        <v>1624</v>
      </c>
      <c r="E138" s="12" t="s">
        <v>2214</v>
      </c>
      <c r="F138" s="13" t="s">
        <v>1717</v>
      </c>
      <c r="G138" s="15" t="s">
        <v>2352</v>
      </c>
      <c r="H138" s="15" t="s">
        <v>2708</v>
      </c>
      <c r="I138" s="15" t="s">
        <v>1988</v>
      </c>
      <c r="J138" s="16"/>
    </row>
    <row r="139" spans="1:10" x14ac:dyDescent="0.3">
      <c r="A139" s="12" t="s">
        <v>3299</v>
      </c>
      <c r="B139" s="12" t="s">
        <v>865</v>
      </c>
      <c r="C139" s="12" t="s">
        <v>870</v>
      </c>
      <c r="D139" s="14" t="s">
        <v>1629</v>
      </c>
      <c r="E139" s="12" t="s">
        <v>2214</v>
      </c>
      <c r="F139" s="13" t="s">
        <v>1718</v>
      </c>
      <c r="G139" s="15" t="s">
        <v>2353</v>
      </c>
      <c r="H139" s="15" t="s">
        <v>2709</v>
      </c>
      <c r="I139" s="15" t="s">
        <v>1989</v>
      </c>
      <c r="J139" s="16"/>
    </row>
    <row r="140" spans="1:10" x14ac:dyDescent="0.3">
      <c r="A140" s="12" t="s">
        <v>3300</v>
      </c>
      <c r="B140" s="12" t="s">
        <v>865</v>
      </c>
      <c r="C140" s="12" t="s">
        <v>870</v>
      </c>
      <c r="D140" s="14" t="s">
        <v>1629</v>
      </c>
      <c r="E140" s="12" t="s">
        <v>2214</v>
      </c>
      <c r="F140" s="13" t="s">
        <v>1719</v>
      </c>
      <c r="G140" s="15" t="s">
        <v>2354</v>
      </c>
      <c r="H140" s="15" t="s">
        <v>2710</v>
      </c>
      <c r="I140" s="15" t="s">
        <v>1990</v>
      </c>
      <c r="J140" s="16"/>
    </row>
    <row r="141" spans="1:10" x14ac:dyDescent="0.3">
      <c r="A141" s="12" t="s">
        <v>3301</v>
      </c>
      <c r="B141" s="12" t="s">
        <v>865</v>
      </c>
      <c r="C141" s="12" t="s">
        <v>870</v>
      </c>
      <c r="D141" s="14" t="s">
        <v>1629</v>
      </c>
      <c r="E141" s="12" t="s">
        <v>2214</v>
      </c>
      <c r="F141" s="13" t="s">
        <v>1720</v>
      </c>
      <c r="G141" s="15" t="s">
        <v>2355</v>
      </c>
      <c r="H141" s="15" t="s">
        <v>2711</v>
      </c>
      <c r="I141" s="15" t="s">
        <v>1991</v>
      </c>
      <c r="J141" s="16"/>
    </row>
    <row r="142" spans="1:10" x14ac:dyDescent="0.3">
      <c r="A142" s="12" t="s">
        <v>3302</v>
      </c>
      <c r="B142" s="12" t="s">
        <v>865</v>
      </c>
      <c r="C142" s="12" t="s">
        <v>870</v>
      </c>
      <c r="D142" s="14" t="s">
        <v>1629</v>
      </c>
      <c r="E142" s="12" t="s">
        <v>2214</v>
      </c>
      <c r="F142" s="13" t="s">
        <v>1721</v>
      </c>
      <c r="G142" s="15" t="s">
        <v>2356</v>
      </c>
      <c r="H142" s="15" t="s">
        <v>2712</v>
      </c>
      <c r="I142" s="15" t="s">
        <v>1992</v>
      </c>
      <c r="J142" s="16"/>
    </row>
    <row r="143" spans="1:10" x14ac:dyDescent="0.3">
      <c r="A143" s="12" t="s">
        <v>3303</v>
      </c>
      <c r="B143" s="12" t="s">
        <v>865</v>
      </c>
      <c r="C143" s="12" t="s">
        <v>870</v>
      </c>
      <c r="D143" s="14" t="s">
        <v>1629</v>
      </c>
      <c r="E143" s="12" t="s">
        <v>2214</v>
      </c>
      <c r="F143" s="13" t="s">
        <v>1722</v>
      </c>
      <c r="G143" s="15" t="s">
        <v>2357</v>
      </c>
      <c r="H143" s="15" t="s">
        <v>2713</v>
      </c>
      <c r="I143" s="15" t="s">
        <v>1993</v>
      </c>
      <c r="J143" s="16"/>
    </row>
    <row r="144" spans="1:10" x14ac:dyDescent="0.3">
      <c r="A144" s="12" t="s">
        <v>3304</v>
      </c>
      <c r="B144" s="12" t="s">
        <v>865</v>
      </c>
      <c r="C144" s="12" t="s">
        <v>870</v>
      </c>
      <c r="D144" s="14" t="s">
        <v>1629</v>
      </c>
      <c r="E144" s="12" t="s">
        <v>2214</v>
      </c>
      <c r="F144" s="13" t="s">
        <v>1723</v>
      </c>
      <c r="G144" s="15" t="s">
        <v>2358</v>
      </c>
      <c r="H144" s="15" t="s">
        <v>2714</v>
      </c>
      <c r="I144" s="15" t="s">
        <v>1994</v>
      </c>
      <c r="J144" s="16"/>
    </row>
    <row r="145" spans="1:10" x14ac:dyDescent="0.3">
      <c r="A145" s="12" t="s">
        <v>3305</v>
      </c>
      <c r="B145" s="12" t="s">
        <v>865</v>
      </c>
      <c r="C145" s="12" t="s">
        <v>870</v>
      </c>
      <c r="D145" s="14" t="s">
        <v>1624</v>
      </c>
      <c r="E145" s="12" t="s">
        <v>2214</v>
      </c>
      <c r="F145" s="13" t="s">
        <v>1724</v>
      </c>
      <c r="G145" s="15" t="s">
        <v>2359</v>
      </c>
      <c r="H145" s="15" t="s">
        <v>2715</v>
      </c>
      <c r="I145" s="15" t="s">
        <v>1995</v>
      </c>
      <c r="J145" s="16"/>
    </row>
    <row r="146" spans="1:10" x14ac:dyDescent="0.3">
      <c r="A146" s="12" t="s">
        <v>3306</v>
      </c>
      <c r="B146" s="12" t="s">
        <v>865</v>
      </c>
      <c r="C146" s="12" t="s">
        <v>870</v>
      </c>
      <c r="D146" s="14" t="s">
        <v>1629</v>
      </c>
      <c r="E146" s="12" t="s">
        <v>2214</v>
      </c>
      <c r="F146" s="13" t="s">
        <v>1725</v>
      </c>
      <c r="G146" s="15" t="s">
        <v>2360</v>
      </c>
      <c r="H146" s="15" t="s">
        <v>2716</v>
      </c>
      <c r="I146" s="15" t="s">
        <v>1996</v>
      </c>
      <c r="J146" s="16"/>
    </row>
    <row r="147" spans="1:10" x14ac:dyDescent="0.3">
      <c r="A147" s="12" t="s">
        <v>3307</v>
      </c>
      <c r="B147" s="12" t="s">
        <v>865</v>
      </c>
      <c r="C147" s="12" t="s">
        <v>870</v>
      </c>
      <c r="D147" s="14" t="s">
        <v>1629</v>
      </c>
      <c r="E147" s="12" t="s">
        <v>2214</v>
      </c>
      <c r="F147" s="13" t="s">
        <v>1726</v>
      </c>
      <c r="G147" s="15" t="s">
        <v>2361</v>
      </c>
      <c r="H147" s="15" t="s">
        <v>2717</v>
      </c>
      <c r="I147" s="15" t="s">
        <v>1997</v>
      </c>
      <c r="J147" s="16"/>
    </row>
    <row r="148" spans="1:10" x14ac:dyDescent="0.3">
      <c r="A148" s="12" t="s">
        <v>3308</v>
      </c>
      <c r="B148" s="12" t="s">
        <v>865</v>
      </c>
      <c r="C148" s="12" t="s">
        <v>870</v>
      </c>
      <c r="D148" s="14" t="s">
        <v>1629</v>
      </c>
      <c r="E148" s="12" t="s">
        <v>2214</v>
      </c>
      <c r="F148" s="13" t="s">
        <v>1727</v>
      </c>
      <c r="G148" s="15" t="s">
        <v>2362</v>
      </c>
      <c r="H148" s="15" t="s">
        <v>2718</v>
      </c>
      <c r="I148" s="15" t="s">
        <v>1998</v>
      </c>
      <c r="J148" s="16"/>
    </row>
    <row r="149" spans="1:10" x14ac:dyDescent="0.3">
      <c r="A149" s="12" t="s">
        <v>3309</v>
      </c>
      <c r="B149" s="12" t="s">
        <v>865</v>
      </c>
      <c r="C149" s="12" t="s">
        <v>870</v>
      </c>
      <c r="D149" s="14" t="s">
        <v>1629</v>
      </c>
      <c r="E149" s="12" t="s">
        <v>2214</v>
      </c>
      <c r="F149" s="13" t="s">
        <v>1728</v>
      </c>
      <c r="G149" s="15" t="s">
        <v>2363</v>
      </c>
      <c r="H149" s="15" t="s">
        <v>2719</v>
      </c>
      <c r="I149" s="15" t="s">
        <v>1999</v>
      </c>
      <c r="J149" s="16"/>
    </row>
    <row r="150" spans="1:10" x14ac:dyDescent="0.3">
      <c r="A150" s="12" t="s">
        <v>3310</v>
      </c>
      <c r="B150" s="12" t="s">
        <v>865</v>
      </c>
      <c r="C150" s="12" t="s">
        <v>870</v>
      </c>
      <c r="D150" s="14" t="s">
        <v>1629</v>
      </c>
      <c r="E150" s="12" t="s">
        <v>2214</v>
      </c>
      <c r="F150" s="13" t="s">
        <v>1729</v>
      </c>
      <c r="G150" s="15" t="s">
        <v>2364</v>
      </c>
      <c r="H150" s="15" t="s">
        <v>2720</v>
      </c>
      <c r="I150" s="15" t="s">
        <v>2000</v>
      </c>
      <c r="J150" s="16"/>
    </row>
    <row r="151" spans="1:10" x14ac:dyDescent="0.3">
      <c r="A151" s="12" t="s">
        <v>3311</v>
      </c>
      <c r="B151" s="12" t="s">
        <v>865</v>
      </c>
      <c r="C151" s="12" t="s">
        <v>870</v>
      </c>
      <c r="D151" s="14" t="s">
        <v>1629</v>
      </c>
      <c r="E151" s="12" t="s">
        <v>2214</v>
      </c>
      <c r="F151" s="13" t="s">
        <v>1730</v>
      </c>
      <c r="G151" s="15" t="s">
        <v>2365</v>
      </c>
      <c r="H151" s="15" t="s">
        <v>2721</v>
      </c>
      <c r="I151" s="15" t="s">
        <v>2001</v>
      </c>
      <c r="J151" s="16"/>
    </row>
    <row r="152" spans="1:10" x14ac:dyDescent="0.3">
      <c r="A152" s="12" t="s">
        <v>3312</v>
      </c>
      <c r="B152" s="12" t="s">
        <v>865</v>
      </c>
      <c r="C152" s="12" t="s">
        <v>870</v>
      </c>
      <c r="D152" s="14" t="s">
        <v>1624</v>
      </c>
      <c r="E152" s="12" t="s">
        <v>2214</v>
      </c>
      <c r="F152" s="13" t="s">
        <v>1731</v>
      </c>
      <c r="G152" s="15" t="s">
        <v>2366</v>
      </c>
      <c r="H152" s="15" t="s">
        <v>2722</v>
      </c>
      <c r="I152" s="15" t="s">
        <v>2002</v>
      </c>
      <c r="J152" s="16"/>
    </row>
    <row r="153" spans="1:10" x14ac:dyDescent="0.3">
      <c r="A153" s="12" t="s">
        <v>3313</v>
      </c>
      <c r="B153" s="12" t="s">
        <v>865</v>
      </c>
      <c r="C153" s="12" t="s">
        <v>870</v>
      </c>
      <c r="D153" s="14" t="s">
        <v>1629</v>
      </c>
      <c r="E153" s="12" t="s">
        <v>2214</v>
      </c>
      <c r="F153" s="13" t="s">
        <v>1732</v>
      </c>
      <c r="G153" s="15" t="s">
        <v>2367</v>
      </c>
      <c r="H153" s="15" t="s">
        <v>2723</v>
      </c>
      <c r="I153" s="15" t="s">
        <v>2003</v>
      </c>
      <c r="J153" s="16"/>
    </row>
    <row r="154" spans="1:10" x14ac:dyDescent="0.3">
      <c r="A154" s="12" t="s">
        <v>3314</v>
      </c>
      <c r="B154" s="12" t="s">
        <v>865</v>
      </c>
      <c r="C154" s="12" t="s">
        <v>870</v>
      </c>
      <c r="D154" s="14" t="s">
        <v>1629</v>
      </c>
      <c r="E154" s="12" t="s">
        <v>2214</v>
      </c>
      <c r="F154" s="13" t="s">
        <v>1733</v>
      </c>
      <c r="G154" s="15" t="s">
        <v>2368</v>
      </c>
      <c r="H154" s="15" t="s">
        <v>2724</v>
      </c>
      <c r="I154" s="15" t="s">
        <v>2004</v>
      </c>
      <c r="J154" s="16"/>
    </row>
    <row r="155" spans="1:10" x14ac:dyDescent="0.3">
      <c r="A155" s="12" t="s">
        <v>3315</v>
      </c>
      <c r="B155" s="12" t="s">
        <v>865</v>
      </c>
      <c r="C155" s="12" t="s">
        <v>870</v>
      </c>
      <c r="D155" s="14" t="s">
        <v>1629</v>
      </c>
      <c r="E155" s="12" t="s">
        <v>2214</v>
      </c>
      <c r="F155" s="13" t="s">
        <v>1734</v>
      </c>
      <c r="G155" s="15" t="s">
        <v>2369</v>
      </c>
      <c r="H155" s="15" t="s">
        <v>2725</v>
      </c>
      <c r="I155" s="15" t="s">
        <v>2005</v>
      </c>
      <c r="J155" s="16"/>
    </row>
    <row r="156" spans="1:10" x14ac:dyDescent="0.3">
      <c r="A156" s="12" t="s">
        <v>3316</v>
      </c>
      <c r="B156" s="12" t="s">
        <v>865</v>
      </c>
      <c r="C156" s="12" t="s">
        <v>870</v>
      </c>
      <c r="D156" s="14" t="s">
        <v>1629</v>
      </c>
      <c r="E156" s="12" t="s">
        <v>2214</v>
      </c>
      <c r="F156" s="13" t="s">
        <v>1735</v>
      </c>
      <c r="G156" s="15" t="s">
        <v>2370</v>
      </c>
      <c r="H156" s="15" t="s">
        <v>2726</v>
      </c>
      <c r="I156" s="15" t="s">
        <v>2006</v>
      </c>
      <c r="J156" s="16"/>
    </row>
    <row r="157" spans="1:10" x14ac:dyDescent="0.3">
      <c r="A157" s="12" t="s">
        <v>3317</v>
      </c>
      <c r="B157" s="12" t="s">
        <v>865</v>
      </c>
      <c r="C157" s="12" t="s">
        <v>870</v>
      </c>
      <c r="D157" s="14" t="s">
        <v>1629</v>
      </c>
      <c r="E157" s="12" t="s">
        <v>2214</v>
      </c>
      <c r="F157" s="13" t="s">
        <v>1736</v>
      </c>
      <c r="G157" s="15" t="s">
        <v>2371</v>
      </c>
      <c r="H157" s="15" t="s">
        <v>2727</v>
      </c>
      <c r="I157" s="15" t="s">
        <v>2007</v>
      </c>
      <c r="J157" s="16"/>
    </row>
    <row r="158" spans="1:10" x14ac:dyDescent="0.3">
      <c r="A158" s="12" t="s">
        <v>3318</v>
      </c>
      <c r="B158" s="12" t="s">
        <v>865</v>
      </c>
      <c r="C158" s="12" t="s">
        <v>870</v>
      </c>
      <c r="D158" s="14" t="s">
        <v>1629</v>
      </c>
      <c r="E158" s="12" t="s">
        <v>2214</v>
      </c>
      <c r="F158" s="13" t="s">
        <v>1737</v>
      </c>
      <c r="G158" s="15" t="s">
        <v>2372</v>
      </c>
      <c r="H158" s="15" t="s">
        <v>2728</v>
      </c>
      <c r="I158" s="15" t="s">
        <v>2008</v>
      </c>
      <c r="J158" s="16"/>
    </row>
    <row r="159" spans="1:10" x14ac:dyDescent="0.3">
      <c r="A159" s="12" t="s">
        <v>3319</v>
      </c>
      <c r="B159" s="12" t="s">
        <v>865</v>
      </c>
      <c r="C159" s="12" t="s">
        <v>870</v>
      </c>
      <c r="D159" s="14" t="s">
        <v>1624</v>
      </c>
      <c r="E159" s="12" t="s">
        <v>2214</v>
      </c>
      <c r="F159" s="13" t="s">
        <v>1738</v>
      </c>
      <c r="G159" s="15" t="s">
        <v>2373</v>
      </c>
      <c r="H159" s="15" t="s">
        <v>2729</v>
      </c>
      <c r="I159" s="15" t="s">
        <v>2009</v>
      </c>
      <c r="J159" s="16"/>
    </row>
    <row r="160" spans="1:10" x14ac:dyDescent="0.3">
      <c r="A160" s="12" t="s">
        <v>3320</v>
      </c>
      <c r="B160" s="12" t="s">
        <v>865</v>
      </c>
      <c r="C160" s="12" t="s">
        <v>870</v>
      </c>
      <c r="D160" s="14" t="s">
        <v>1629</v>
      </c>
      <c r="E160" s="12" t="s">
        <v>2214</v>
      </c>
      <c r="F160" s="13" t="s">
        <v>1739</v>
      </c>
      <c r="G160" s="15" t="s">
        <v>2374</v>
      </c>
      <c r="H160" s="15" t="s">
        <v>2730</v>
      </c>
      <c r="I160" s="15" t="s">
        <v>2010</v>
      </c>
      <c r="J160" s="16"/>
    </row>
    <row r="161" spans="1:10" x14ac:dyDescent="0.3">
      <c r="A161" s="12" t="s">
        <v>3321</v>
      </c>
      <c r="B161" s="12" t="s">
        <v>865</v>
      </c>
      <c r="C161" s="12" t="s">
        <v>870</v>
      </c>
      <c r="D161" s="14" t="s">
        <v>1629</v>
      </c>
      <c r="E161" s="12" t="s">
        <v>2214</v>
      </c>
      <c r="F161" s="13" t="s">
        <v>1740</v>
      </c>
      <c r="G161" s="15" t="s">
        <v>2375</v>
      </c>
      <c r="H161" s="15" t="s">
        <v>2731</v>
      </c>
      <c r="I161" s="15" t="s">
        <v>2011</v>
      </c>
      <c r="J161" s="16"/>
    </row>
    <row r="162" spans="1:10" x14ac:dyDescent="0.3">
      <c r="A162" s="12" t="s">
        <v>3322</v>
      </c>
      <c r="B162" s="12" t="s">
        <v>865</v>
      </c>
      <c r="C162" s="12" t="s">
        <v>870</v>
      </c>
      <c r="D162" s="14" t="s">
        <v>1629</v>
      </c>
      <c r="E162" s="12" t="s">
        <v>2214</v>
      </c>
      <c r="F162" s="13" t="s">
        <v>1741</v>
      </c>
      <c r="G162" s="15" t="s">
        <v>2376</v>
      </c>
      <c r="H162" s="15" t="s">
        <v>2732</v>
      </c>
      <c r="I162" s="15" t="s">
        <v>2012</v>
      </c>
      <c r="J162" s="16"/>
    </row>
    <row r="163" spans="1:10" x14ac:dyDescent="0.3">
      <c r="A163" s="12" t="s">
        <v>3323</v>
      </c>
      <c r="B163" s="12" t="s">
        <v>865</v>
      </c>
      <c r="C163" s="12" t="s">
        <v>870</v>
      </c>
      <c r="D163" s="14" t="s">
        <v>1629</v>
      </c>
      <c r="E163" s="12" t="s">
        <v>2214</v>
      </c>
      <c r="F163" s="13" t="s">
        <v>1742</v>
      </c>
      <c r="G163" s="15" t="s">
        <v>2377</v>
      </c>
      <c r="H163" s="15" t="s">
        <v>2733</v>
      </c>
      <c r="I163" s="15" t="s">
        <v>2013</v>
      </c>
      <c r="J163" s="16"/>
    </row>
    <row r="164" spans="1:10" x14ac:dyDescent="0.3">
      <c r="A164" s="12" t="s">
        <v>3324</v>
      </c>
      <c r="B164" s="12" t="s">
        <v>865</v>
      </c>
      <c r="C164" s="12" t="s">
        <v>870</v>
      </c>
      <c r="D164" s="14" t="s">
        <v>1629</v>
      </c>
      <c r="E164" s="12" t="s">
        <v>2214</v>
      </c>
      <c r="F164" s="13" t="s">
        <v>1743</v>
      </c>
      <c r="G164" s="15" t="s">
        <v>2378</v>
      </c>
      <c r="H164" s="15" t="s">
        <v>2734</v>
      </c>
      <c r="I164" s="15" t="s">
        <v>2014</v>
      </c>
      <c r="J164" s="16"/>
    </row>
    <row r="165" spans="1:10" x14ac:dyDescent="0.3">
      <c r="A165" s="12" t="s">
        <v>3325</v>
      </c>
      <c r="B165" s="12" t="s">
        <v>865</v>
      </c>
      <c r="C165" s="12" t="s">
        <v>870</v>
      </c>
      <c r="D165" s="14" t="s">
        <v>1629</v>
      </c>
      <c r="E165" s="12" t="s">
        <v>2214</v>
      </c>
      <c r="F165" s="13" t="s">
        <v>1744</v>
      </c>
      <c r="G165" s="15" t="s">
        <v>2379</v>
      </c>
      <c r="H165" s="15" t="s">
        <v>2735</v>
      </c>
      <c r="I165" s="15" t="s">
        <v>2015</v>
      </c>
      <c r="J165" s="16"/>
    </row>
    <row r="166" spans="1:10" x14ac:dyDescent="0.3">
      <c r="A166" s="12" t="s">
        <v>3326</v>
      </c>
      <c r="B166" s="12" t="s">
        <v>865</v>
      </c>
      <c r="C166" s="12" t="s">
        <v>870</v>
      </c>
      <c r="D166" s="14" t="s">
        <v>1624</v>
      </c>
      <c r="E166" s="12" t="s">
        <v>2214</v>
      </c>
      <c r="F166" s="13" t="s">
        <v>1745</v>
      </c>
      <c r="G166" s="15" t="s">
        <v>2380</v>
      </c>
      <c r="H166" s="15" t="s">
        <v>2736</v>
      </c>
      <c r="I166" s="15" t="s">
        <v>2016</v>
      </c>
      <c r="J166" s="16"/>
    </row>
    <row r="167" spans="1:10" x14ac:dyDescent="0.3">
      <c r="A167" s="12" t="s">
        <v>3327</v>
      </c>
      <c r="B167" s="12" t="s">
        <v>865</v>
      </c>
      <c r="C167" s="12" t="s">
        <v>870</v>
      </c>
      <c r="D167" s="14" t="s">
        <v>1629</v>
      </c>
      <c r="E167" s="12" t="s">
        <v>2214</v>
      </c>
      <c r="F167" s="13" t="s">
        <v>1746</v>
      </c>
      <c r="G167" s="15" t="s">
        <v>2381</v>
      </c>
      <c r="H167" s="15" t="s">
        <v>2737</v>
      </c>
      <c r="I167" s="15" t="s">
        <v>2017</v>
      </c>
      <c r="J167" s="16"/>
    </row>
    <row r="168" spans="1:10" x14ac:dyDescent="0.3">
      <c r="A168" s="12" t="s">
        <v>3328</v>
      </c>
      <c r="B168" s="12" t="s">
        <v>865</v>
      </c>
      <c r="C168" s="12" t="s">
        <v>870</v>
      </c>
      <c r="D168" s="14" t="s">
        <v>1629</v>
      </c>
      <c r="E168" s="12" t="s">
        <v>2214</v>
      </c>
      <c r="F168" s="13" t="s">
        <v>1747</v>
      </c>
      <c r="G168" s="15" t="s">
        <v>2382</v>
      </c>
      <c r="H168" s="15" t="s">
        <v>2738</v>
      </c>
      <c r="I168" s="15" t="s">
        <v>2018</v>
      </c>
      <c r="J168" s="16"/>
    </row>
    <row r="169" spans="1:10" x14ac:dyDescent="0.3">
      <c r="A169" s="12" t="s">
        <v>3329</v>
      </c>
      <c r="B169" s="12" t="s">
        <v>865</v>
      </c>
      <c r="C169" s="12" t="s">
        <v>870</v>
      </c>
      <c r="D169" s="14" t="s">
        <v>1629</v>
      </c>
      <c r="E169" s="12" t="s">
        <v>2214</v>
      </c>
      <c r="F169" s="13" t="s">
        <v>1748</v>
      </c>
      <c r="G169" s="15" t="s">
        <v>2383</v>
      </c>
      <c r="H169" s="15" t="s">
        <v>2739</v>
      </c>
      <c r="I169" s="15" t="s">
        <v>2019</v>
      </c>
      <c r="J169" s="16"/>
    </row>
    <row r="170" spans="1:10" x14ac:dyDescent="0.3">
      <c r="A170" s="12" t="s">
        <v>3330</v>
      </c>
      <c r="B170" s="12" t="s">
        <v>865</v>
      </c>
      <c r="C170" s="12" t="s">
        <v>870</v>
      </c>
      <c r="D170" s="14" t="s">
        <v>1629</v>
      </c>
      <c r="E170" s="12" t="s">
        <v>2214</v>
      </c>
      <c r="F170" s="13" t="s">
        <v>1749</v>
      </c>
      <c r="G170" s="15" t="s">
        <v>2384</v>
      </c>
      <c r="H170" s="15" t="s">
        <v>2740</v>
      </c>
      <c r="I170" s="15" t="s">
        <v>2020</v>
      </c>
      <c r="J170" s="16"/>
    </row>
    <row r="171" spans="1:10" x14ac:dyDescent="0.3">
      <c r="A171" s="12" t="s">
        <v>3331</v>
      </c>
      <c r="B171" s="12" t="s">
        <v>865</v>
      </c>
      <c r="C171" s="12" t="s">
        <v>870</v>
      </c>
      <c r="D171" s="14" t="s">
        <v>1629</v>
      </c>
      <c r="E171" s="12" t="s">
        <v>2214</v>
      </c>
      <c r="F171" s="13" t="s">
        <v>1750</v>
      </c>
      <c r="G171" s="15" t="s">
        <v>2385</v>
      </c>
      <c r="H171" s="15" t="s">
        <v>2741</v>
      </c>
      <c r="I171" s="15" t="s">
        <v>2021</v>
      </c>
      <c r="J171" s="16"/>
    </row>
    <row r="172" spans="1:10" x14ac:dyDescent="0.3">
      <c r="A172" s="12" t="s">
        <v>3332</v>
      </c>
      <c r="B172" s="12" t="s">
        <v>865</v>
      </c>
      <c r="C172" s="12" t="s">
        <v>870</v>
      </c>
      <c r="D172" s="14" t="s">
        <v>1629</v>
      </c>
      <c r="E172" s="12" t="s">
        <v>2214</v>
      </c>
      <c r="F172" s="13" t="s">
        <v>1751</v>
      </c>
      <c r="G172" s="15" t="s">
        <v>2386</v>
      </c>
      <c r="H172" s="15" t="s">
        <v>2742</v>
      </c>
      <c r="I172" s="15" t="s">
        <v>2022</v>
      </c>
      <c r="J172" s="16"/>
    </row>
    <row r="173" spans="1:10" x14ac:dyDescent="0.3">
      <c r="A173" s="12" t="s">
        <v>3333</v>
      </c>
      <c r="B173" s="12" t="s">
        <v>865</v>
      </c>
      <c r="C173" s="12" t="s">
        <v>870</v>
      </c>
      <c r="D173" s="14" t="s">
        <v>1624</v>
      </c>
      <c r="E173" s="12" t="s">
        <v>2214</v>
      </c>
      <c r="F173" s="13" t="s">
        <v>1752</v>
      </c>
      <c r="G173" s="15" t="s">
        <v>2387</v>
      </c>
      <c r="H173" s="15" t="s">
        <v>2743</v>
      </c>
      <c r="I173" s="15" t="s">
        <v>2023</v>
      </c>
      <c r="J173" s="16"/>
    </row>
    <row r="174" spans="1:10" x14ac:dyDescent="0.3">
      <c r="A174" s="12" t="s">
        <v>3334</v>
      </c>
      <c r="B174" s="12" t="s">
        <v>865</v>
      </c>
      <c r="C174" s="12" t="s">
        <v>870</v>
      </c>
      <c r="D174" s="14" t="s">
        <v>1629</v>
      </c>
      <c r="E174" s="12" t="s">
        <v>2214</v>
      </c>
      <c r="F174" s="13" t="s">
        <v>1753</v>
      </c>
      <c r="G174" s="15" t="s">
        <v>2388</v>
      </c>
      <c r="H174" s="15" t="s">
        <v>2744</v>
      </c>
      <c r="I174" s="15" t="s">
        <v>2024</v>
      </c>
      <c r="J174" s="16"/>
    </row>
    <row r="175" spans="1:10" x14ac:dyDescent="0.3">
      <c r="A175" s="12" t="s">
        <v>3335</v>
      </c>
      <c r="B175" s="12" t="s">
        <v>865</v>
      </c>
      <c r="C175" s="12" t="s">
        <v>870</v>
      </c>
      <c r="D175" s="14" t="s">
        <v>1629</v>
      </c>
      <c r="E175" s="12" t="s">
        <v>2214</v>
      </c>
      <c r="F175" s="13" t="s">
        <v>1754</v>
      </c>
      <c r="G175" s="15" t="s">
        <v>2389</v>
      </c>
      <c r="H175" s="15" t="s">
        <v>2745</v>
      </c>
      <c r="I175" s="15" t="s">
        <v>2025</v>
      </c>
      <c r="J175" s="16"/>
    </row>
    <row r="176" spans="1:10" x14ac:dyDescent="0.3">
      <c r="A176" s="12" t="s">
        <v>3336</v>
      </c>
      <c r="B176" s="12" t="s">
        <v>865</v>
      </c>
      <c r="C176" s="12" t="s">
        <v>870</v>
      </c>
      <c r="D176" s="14" t="s">
        <v>1629</v>
      </c>
      <c r="E176" s="12" t="s">
        <v>2214</v>
      </c>
      <c r="F176" s="13" t="s">
        <v>1755</v>
      </c>
      <c r="G176" s="15" t="s">
        <v>2390</v>
      </c>
      <c r="H176" s="15" t="s">
        <v>2746</v>
      </c>
      <c r="I176" s="15" t="s">
        <v>2026</v>
      </c>
      <c r="J176" s="16"/>
    </row>
    <row r="177" spans="1:10" x14ac:dyDescent="0.3">
      <c r="A177" s="12" t="s">
        <v>3337</v>
      </c>
      <c r="B177" s="12" t="s">
        <v>865</v>
      </c>
      <c r="C177" s="12" t="s">
        <v>870</v>
      </c>
      <c r="D177" s="14" t="s">
        <v>1629</v>
      </c>
      <c r="E177" s="12" t="s">
        <v>2214</v>
      </c>
      <c r="F177" s="13" t="s">
        <v>1756</v>
      </c>
      <c r="G177" s="15" t="s">
        <v>2391</v>
      </c>
      <c r="H177" s="15" t="s">
        <v>2747</v>
      </c>
      <c r="I177" s="15" t="s">
        <v>2027</v>
      </c>
      <c r="J177" s="16"/>
    </row>
    <row r="178" spans="1:10" x14ac:dyDescent="0.3">
      <c r="A178" s="12" t="s">
        <v>3338</v>
      </c>
      <c r="B178" s="12" t="s">
        <v>865</v>
      </c>
      <c r="C178" s="12" t="s">
        <v>870</v>
      </c>
      <c r="D178" s="14" t="s">
        <v>1629</v>
      </c>
      <c r="E178" s="12" t="s">
        <v>2214</v>
      </c>
      <c r="F178" s="13" t="s">
        <v>1757</v>
      </c>
      <c r="G178" s="15" t="s">
        <v>2392</v>
      </c>
      <c r="H178" s="15" t="s">
        <v>2748</v>
      </c>
      <c r="I178" s="15" t="s">
        <v>2028</v>
      </c>
      <c r="J178" s="16"/>
    </row>
    <row r="179" spans="1:10" x14ac:dyDescent="0.3">
      <c r="A179" s="12" t="s">
        <v>3339</v>
      </c>
      <c r="B179" s="12" t="s">
        <v>865</v>
      </c>
      <c r="C179" s="12" t="s">
        <v>870</v>
      </c>
      <c r="D179" s="14" t="s">
        <v>1629</v>
      </c>
      <c r="E179" s="12" t="s">
        <v>2214</v>
      </c>
      <c r="F179" s="13" t="s">
        <v>1758</v>
      </c>
      <c r="G179" s="15" t="s">
        <v>2393</v>
      </c>
      <c r="H179" s="15" t="s">
        <v>2749</v>
      </c>
      <c r="I179" s="15" t="s">
        <v>2029</v>
      </c>
      <c r="J179" s="16"/>
    </row>
    <row r="180" spans="1:10" x14ac:dyDescent="0.3">
      <c r="A180" s="12" t="s">
        <v>3340</v>
      </c>
      <c r="B180" s="12" t="s">
        <v>865</v>
      </c>
      <c r="C180" s="12" t="s">
        <v>870</v>
      </c>
      <c r="D180" s="14" t="s">
        <v>1624</v>
      </c>
      <c r="E180" s="12" t="s">
        <v>2214</v>
      </c>
      <c r="F180" s="13" t="s">
        <v>1759</v>
      </c>
      <c r="G180" s="15" t="s">
        <v>2394</v>
      </c>
      <c r="H180" s="15" t="s">
        <v>2750</v>
      </c>
      <c r="I180" s="15" t="s">
        <v>2030</v>
      </c>
      <c r="J180" s="16"/>
    </row>
    <row r="181" spans="1:10" x14ac:dyDescent="0.3">
      <c r="A181" s="12" t="s">
        <v>3341</v>
      </c>
      <c r="B181" s="12" t="s">
        <v>865</v>
      </c>
      <c r="C181" s="12" t="s">
        <v>870</v>
      </c>
      <c r="D181" s="14" t="s">
        <v>1629</v>
      </c>
      <c r="E181" s="12" t="s">
        <v>2214</v>
      </c>
      <c r="F181" s="13" t="s">
        <v>1760</v>
      </c>
      <c r="G181" s="15" t="s">
        <v>2395</v>
      </c>
      <c r="H181" s="15" t="s">
        <v>2751</v>
      </c>
      <c r="I181" s="15" t="s">
        <v>2031</v>
      </c>
      <c r="J181" s="16"/>
    </row>
    <row r="182" spans="1:10" x14ac:dyDescent="0.3">
      <c r="A182" s="12" t="s">
        <v>3342</v>
      </c>
      <c r="B182" s="12" t="s">
        <v>865</v>
      </c>
      <c r="C182" s="12" t="s">
        <v>870</v>
      </c>
      <c r="D182" s="14" t="s">
        <v>1629</v>
      </c>
      <c r="E182" s="12" t="s">
        <v>2214</v>
      </c>
      <c r="F182" s="13" t="s">
        <v>1761</v>
      </c>
      <c r="G182" s="15" t="s">
        <v>2396</v>
      </c>
      <c r="H182" s="15" t="s">
        <v>2752</v>
      </c>
      <c r="I182" s="15" t="s">
        <v>2032</v>
      </c>
      <c r="J182" s="16"/>
    </row>
    <row r="183" spans="1:10" x14ac:dyDescent="0.3">
      <c r="A183" s="12" t="s">
        <v>3343</v>
      </c>
      <c r="B183" s="12" t="s">
        <v>865</v>
      </c>
      <c r="C183" s="12" t="s">
        <v>870</v>
      </c>
      <c r="D183" s="14" t="s">
        <v>1629</v>
      </c>
      <c r="E183" s="12" t="s">
        <v>2214</v>
      </c>
      <c r="F183" s="13" t="s">
        <v>1762</v>
      </c>
      <c r="G183" s="15" t="s">
        <v>2397</v>
      </c>
      <c r="H183" s="15" t="s">
        <v>2753</v>
      </c>
      <c r="I183" s="15" t="s">
        <v>2033</v>
      </c>
      <c r="J183" s="16"/>
    </row>
    <row r="184" spans="1:10" x14ac:dyDescent="0.3">
      <c r="A184" s="12" t="s">
        <v>3344</v>
      </c>
      <c r="B184" s="12" t="s">
        <v>865</v>
      </c>
      <c r="C184" s="12" t="s">
        <v>870</v>
      </c>
      <c r="D184" s="14" t="s">
        <v>1629</v>
      </c>
      <c r="E184" s="12" t="s">
        <v>2214</v>
      </c>
      <c r="F184" s="13" t="s">
        <v>1763</v>
      </c>
      <c r="G184" s="15" t="s">
        <v>2398</v>
      </c>
      <c r="H184" s="15" t="s">
        <v>2754</v>
      </c>
      <c r="I184" s="15" t="s">
        <v>2034</v>
      </c>
      <c r="J184" s="16"/>
    </row>
    <row r="185" spans="1:10" x14ac:dyDescent="0.3">
      <c r="A185" s="12" t="s">
        <v>3345</v>
      </c>
      <c r="B185" s="12" t="s">
        <v>865</v>
      </c>
      <c r="C185" s="12" t="s">
        <v>870</v>
      </c>
      <c r="D185" s="14" t="s">
        <v>1629</v>
      </c>
      <c r="E185" s="12" t="s">
        <v>2214</v>
      </c>
      <c r="F185" s="13" t="s">
        <v>1764</v>
      </c>
      <c r="G185" s="15" t="s">
        <v>2399</v>
      </c>
      <c r="H185" s="15" t="s">
        <v>2755</v>
      </c>
      <c r="I185" s="15" t="s">
        <v>2035</v>
      </c>
      <c r="J185" s="16"/>
    </row>
    <row r="186" spans="1:10" x14ac:dyDescent="0.3">
      <c r="A186" s="12" t="s">
        <v>3346</v>
      </c>
      <c r="B186" s="12" t="s">
        <v>865</v>
      </c>
      <c r="C186" s="12" t="s">
        <v>870</v>
      </c>
      <c r="D186" s="14" t="s">
        <v>1629</v>
      </c>
      <c r="E186" s="12" t="s">
        <v>2214</v>
      </c>
      <c r="F186" s="13" t="s">
        <v>1765</v>
      </c>
      <c r="G186" s="15" t="s">
        <v>2400</v>
      </c>
      <c r="H186" s="15" t="s">
        <v>2756</v>
      </c>
      <c r="I186" s="15" t="s">
        <v>2036</v>
      </c>
      <c r="J186" s="16"/>
    </row>
    <row r="187" spans="1:10" x14ac:dyDescent="0.3">
      <c r="A187" s="12" t="s">
        <v>3347</v>
      </c>
      <c r="B187" s="12" t="s">
        <v>865</v>
      </c>
      <c r="C187" s="12" t="s">
        <v>870</v>
      </c>
      <c r="D187" s="14" t="s">
        <v>1624</v>
      </c>
      <c r="E187" s="12" t="s">
        <v>2214</v>
      </c>
      <c r="F187" s="13" t="s">
        <v>1766</v>
      </c>
      <c r="G187" s="15" t="s">
        <v>2401</v>
      </c>
      <c r="H187" s="15" t="s">
        <v>2757</v>
      </c>
      <c r="I187" s="15" t="s">
        <v>2037</v>
      </c>
      <c r="J187" s="16"/>
    </row>
    <row r="188" spans="1:10" x14ac:dyDescent="0.3">
      <c r="A188" s="12" t="s">
        <v>3348</v>
      </c>
      <c r="B188" s="12" t="s">
        <v>865</v>
      </c>
      <c r="C188" s="12" t="s">
        <v>870</v>
      </c>
      <c r="D188" s="14" t="s">
        <v>1629</v>
      </c>
      <c r="E188" s="12" t="s">
        <v>2214</v>
      </c>
      <c r="F188" s="13" t="s">
        <v>1767</v>
      </c>
      <c r="G188" s="15" t="s">
        <v>2402</v>
      </c>
      <c r="H188" s="15" t="s">
        <v>2758</v>
      </c>
      <c r="I188" s="15" t="s">
        <v>2038</v>
      </c>
      <c r="J188" s="16"/>
    </row>
    <row r="189" spans="1:10" x14ac:dyDescent="0.3">
      <c r="A189" s="12" t="s">
        <v>3349</v>
      </c>
      <c r="B189" s="12" t="s">
        <v>865</v>
      </c>
      <c r="C189" s="12" t="s">
        <v>870</v>
      </c>
      <c r="D189" s="14" t="s">
        <v>1629</v>
      </c>
      <c r="E189" s="12" t="s">
        <v>2214</v>
      </c>
      <c r="F189" s="13" t="s">
        <v>1768</v>
      </c>
      <c r="G189" s="15" t="s">
        <v>2403</v>
      </c>
      <c r="H189" s="15" t="s">
        <v>2759</v>
      </c>
      <c r="I189" s="15" t="s">
        <v>2039</v>
      </c>
      <c r="J189" s="16"/>
    </row>
    <row r="190" spans="1:10" x14ac:dyDescent="0.3">
      <c r="A190" s="12" t="s">
        <v>3350</v>
      </c>
      <c r="B190" s="12" t="s">
        <v>865</v>
      </c>
      <c r="C190" s="12" t="s">
        <v>870</v>
      </c>
      <c r="D190" s="14" t="s">
        <v>1629</v>
      </c>
      <c r="E190" s="12" t="s">
        <v>2214</v>
      </c>
      <c r="F190" s="13" t="s">
        <v>1769</v>
      </c>
      <c r="G190" s="15" t="s">
        <v>2404</v>
      </c>
      <c r="H190" s="15" t="s">
        <v>2760</v>
      </c>
      <c r="I190" s="15" t="s">
        <v>2040</v>
      </c>
      <c r="J190" s="16"/>
    </row>
    <row r="191" spans="1:10" x14ac:dyDescent="0.3">
      <c r="A191" s="12" t="s">
        <v>3351</v>
      </c>
      <c r="B191" s="12" t="s">
        <v>865</v>
      </c>
      <c r="C191" s="12" t="s">
        <v>870</v>
      </c>
      <c r="D191" s="14" t="s">
        <v>1629</v>
      </c>
      <c r="E191" s="12" t="s">
        <v>2214</v>
      </c>
      <c r="F191" s="13" t="s">
        <v>1770</v>
      </c>
      <c r="G191" s="15" t="s">
        <v>2405</v>
      </c>
      <c r="H191" s="15" t="s">
        <v>2761</v>
      </c>
      <c r="I191" s="15" t="s">
        <v>2041</v>
      </c>
      <c r="J191" s="16"/>
    </row>
    <row r="192" spans="1:10" x14ac:dyDescent="0.3">
      <c r="A192" s="12" t="s">
        <v>3352</v>
      </c>
      <c r="B192" s="12" t="s">
        <v>865</v>
      </c>
      <c r="C192" s="12" t="s">
        <v>870</v>
      </c>
      <c r="D192" s="14" t="s">
        <v>1629</v>
      </c>
      <c r="E192" s="12" t="s">
        <v>2214</v>
      </c>
      <c r="F192" s="13" t="s">
        <v>1771</v>
      </c>
      <c r="G192" s="15" t="s">
        <v>2406</v>
      </c>
      <c r="H192" s="15" t="s">
        <v>2762</v>
      </c>
      <c r="I192" s="15" t="s">
        <v>2042</v>
      </c>
      <c r="J192" s="16"/>
    </row>
    <row r="193" spans="1:10" x14ac:dyDescent="0.3">
      <c r="A193" s="12" t="s">
        <v>3353</v>
      </c>
      <c r="B193" s="12" t="s">
        <v>865</v>
      </c>
      <c r="C193" s="12" t="s">
        <v>870</v>
      </c>
      <c r="D193" s="14" t="s">
        <v>1629</v>
      </c>
      <c r="E193" s="12" t="s">
        <v>2214</v>
      </c>
      <c r="F193" s="13" t="s">
        <v>1772</v>
      </c>
      <c r="G193" s="15" t="s">
        <v>2407</v>
      </c>
      <c r="H193" s="15" t="s">
        <v>2763</v>
      </c>
      <c r="I193" s="15" t="s">
        <v>2043</v>
      </c>
      <c r="J193" s="16"/>
    </row>
    <row r="194" spans="1:10" x14ac:dyDescent="0.3">
      <c r="A194" s="12" t="s">
        <v>3354</v>
      </c>
      <c r="B194" s="12" t="s">
        <v>865</v>
      </c>
      <c r="C194" s="12" t="s">
        <v>870</v>
      </c>
      <c r="D194" s="14" t="s">
        <v>1624</v>
      </c>
      <c r="E194" s="12" t="s">
        <v>2214</v>
      </c>
      <c r="F194" s="13" t="s">
        <v>1773</v>
      </c>
      <c r="G194" s="15" t="s">
        <v>2408</v>
      </c>
      <c r="H194" s="15" t="s">
        <v>2764</v>
      </c>
      <c r="I194" s="15" t="s">
        <v>2044</v>
      </c>
      <c r="J194" s="16"/>
    </row>
    <row r="195" spans="1:10" x14ac:dyDescent="0.3">
      <c r="A195" s="12" t="s">
        <v>3355</v>
      </c>
      <c r="B195" s="12" t="s">
        <v>865</v>
      </c>
      <c r="C195" s="12" t="s">
        <v>870</v>
      </c>
      <c r="D195" s="14" t="s">
        <v>1629</v>
      </c>
      <c r="E195" s="12" t="s">
        <v>2214</v>
      </c>
      <c r="F195" s="13" t="s">
        <v>1774</v>
      </c>
      <c r="G195" s="15" t="s">
        <v>2409</v>
      </c>
      <c r="H195" s="15" t="s">
        <v>2765</v>
      </c>
      <c r="I195" s="15" t="s">
        <v>2045</v>
      </c>
      <c r="J195" s="16"/>
    </row>
    <row r="196" spans="1:10" x14ac:dyDescent="0.3">
      <c r="A196" s="12" t="s">
        <v>3356</v>
      </c>
      <c r="B196" s="12" t="s">
        <v>865</v>
      </c>
      <c r="C196" s="12" t="s">
        <v>870</v>
      </c>
      <c r="D196" s="14" t="s">
        <v>1629</v>
      </c>
      <c r="E196" s="12" t="s">
        <v>2214</v>
      </c>
      <c r="F196" s="13" t="s">
        <v>1775</v>
      </c>
      <c r="G196" s="15" t="s">
        <v>2410</v>
      </c>
      <c r="H196" s="15" t="s">
        <v>2766</v>
      </c>
      <c r="I196" s="15" t="s">
        <v>2046</v>
      </c>
      <c r="J196" s="16"/>
    </row>
    <row r="197" spans="1:10" x14ac:dyDescent="0.3">
      <c r="A197" s="12" t="s">
        <v>3357</v>
      </c>
      <c r="B197" s="12" t="s">
        <v>865</v>
      </c>
      <c r="C197" s="12" t="s">
        <v>870</v>
      </c>
      <c r="D197" s="14" t="s">
        <v>1629</v>
      </c>
      <c r="E197" s="12" t="s">
        <v>2214</v>
      </c>
      <c r="F197" s="13" t="s">
        <v>1776</v>
      </c>
      <c r="G197" s="15" t="s">
        <v>2411</v>
      </c>
      <c r="H197" s="15" t="s">
        <v>2767</v>
      </c>
      <c r="I197" s="15" t="s">
        <v>2047</v>
      </c>
      <c r="J197" s="16"/>
    </row>
    <row r="198" spans="1:10" x14ac:dyDescent="0.3">
      <c r="A198" s="12" t="s">
        <v>3358</v>
      </c>
      <c r="B198" s="12" t="s">
        <v>865</v>
      </c>
      <c r="C198" s="12" t="s">
        <v>870</v>
      </c>
      <c r="D198" s="14" t="s">
        <v>1629</v>
      </c>
      <c r="E198" s="12" t="s">
        <v>2214</v>
      </c>
      <c r="F198" s="13" t="s">
        <v>1777</v>
      </c>
      <c r="G198" s="15" t="s">
        <v>2412</v>
      </c>
      <c r="H198" s="15" t="s">
        <v>2768</v>
      </c>
      <c r="I198" s="15" t="s">
        <v>2048</v>
      </c>
      <c r="J198" s="16"/>
    </row>
    <row r="199" spans="1:10" x14ac:dyDescent="0.3">
      <c r="A199" s="12" t="s">
        <v>3359</v>
      </c>
      <c r="B199" s="12" t="s">
        <v>865</v>
      </c>
      <c r="C199" s="12" t="s">
        <v>870</v>
      </c>
      <c r="D199" s="14" t="s">
        <v>1629</v>
      </c>
      <c r="E199" s="12" t="s">
        <v>2214</v>
      </c>
      <c r="F199" s="13" t="s">
        <v>1778</v>
      </c>
      <c r="G199" s="15" t="s">
        <v>2413</v>
      </c>
      <c r="H199" s="15" t="s">
        <v>2769</v>
      </c>
      <c r="I199" s="15" t="s">
        <v>2049</v>
      </c>
      <c r="J199" s="16"/>
    </row>
    <row r="200" spans="1:10" x14ac:dyDescent="0.3">
      <c r="A200" s="12" t="s">
        <v>3360</v>
      </c>
      <c r="B200" s="12" t="s">
        <v>865</v>
      </c>
      <c r="C200" s="12" t="s">
        <v>870</v>
      </c>
      <c r="D200" s="14" t="s">
        <v>1629</v>
      </c>
      <c r="E200" s="12" t="s">
        <v>2214</v>
      </c>
      <c r="F200" s="13" t="s">
        <v>1779</v>
      </c>
      <c r="G200" s="15" t="s">
        <v>2414</v>
      </c>
      <c r="H200" s="15" t="s">
        <v>2770</v>
      </c>
      <c r="I200" s="15" t="s">
        <v>2050</v>
      </c>
      <c r="J200" s="16"/>
    </row>
    <row r="201" spans="1:10" x14ac:dyDescent="0.3">
      <c r="A201" s="12" t="s">
        <v>3361</v>
      </c>
      <c r="B201" s="12" t="s">
        <v>865</v>
      </c>
      <c r="C201" s="12" t="s">
        <v>870</v>
      </c>
      <c r="D201" s="14" t="s">
        <v>1624</v>
      </c>
      <c r="E201" s="12" t="s">
        <v>2214</v>
      </c>
      <c r="F201" s="13" t="s">
        <v>1780</v>
      </c>
      <c r="G201" s="15" t="s">
        <v>2415</v>
      </c>
      <c r="H201" s="15" t="s">
        <v>2771</v>
      </c>
      <c r="I201" s="15" t="s">
        <v>2051</v>
      </c>
      <c r="J201" s="16"/>
    </row>
    <row r="202" spans="1:10" x14ac:dyDescent="0.3">
      <c r="A202" s="12" t="s">
        <v>3362</v>
      </c>
      <c r="B202" s="12" t="s">
        <v>865</v>
      </c>
      <c r="C202" s="12" t="s">
        <v>870</v>
      </c>
      <c r="D202" s="14" t="s">
        <v>1629</v>
      </c>
      <c r="E202" s="12" t="s">
        <v>2214</v>
      </c>
      <c r="F202" s="13" t="s">
        <v>1781</v>
      </c>
      <c r="G202" s="15" t="s">
        <v>2416</v>
      </c>
      <c r="H202" s="15" t="s">
        <v>2772</v>
      </c>
      <c r="I202" s="15" t="s">
        <v>2052</v>
      </c>
      <c r="J202" s="16"/>
    </row>
    <row r="203" spans="1:10" x14ac:dyDescent="0.3">
      <c r="A203" s="12" t="s">
        <v>3363</v>
      </c>
      <c r="B203" s="12" t="s">
        <v>865</v>
      </c>
      <c r="C203" s="12" t="s">
        <v>870</v>
      </c>
      <c r="D203" s="14" t="s">
        <v>1629</v>
      </c>
      <c r="E203" s="12" t="s">
        <v>2214</v>
      </c>
      <c r="F203" s="13" t="s">
        <v>1782</v>
      </c>
      <c r="G203" s="15" t="s">
        <v>2417</v>
      </c>
      <c r="H203" s="15" t="s">
        <v>2773</v>
      </c>
      <c r="I203" s="15" t="s">
        <v>2053</v>
      </c>
      <c r="J203" s="16"/>
    </row>
    <row r="204" spans="1:10" x14ac:dyDescent="0.3">
      <c r="A204" s="12" t="s">
        <v>3364</v>
      </c>
      <c r="B204" s="12" t="s">
        <v>865</v>
      </c>
      <c r="C204" s="12" t="s">
        <v>870</v>
      </c>
      <c r="D204" s="14" t="s">
        <v>1629</v>
      </c>
      <c r="E204" s="12" t="s">
        <v>2214</v>
      </c>
      <c r="F204" s="13" t="s">
        <v>1783</v>
      </c>
      <c r="G204" s="15" t="s">
        <v>2418</v>
      </c>
      <c r="H204" s="15" t="s">
        <v>2774</v>
      </c>
      <c r="I204" s="15" t="s">
        <v>2054</v>
      </c>
      <c r="J204" s="16"/>
    </row>
    <row r="205" spans="1:10" x14ac:dyDescent="0.3">
      <c r="A205" s="12" t="s">
        <v>3365</v>
      </c>
      <c r="B205" s="12" t="s">
        <v>865</v>
      </c>
      <c r="C205" s="12" t="s">
        <v>870</v>
      </c>
      <c r="D205" s="14" t="s">
        <v>1629</v>
      </c>
      <c r="E205" s="12" t="s">
        <v>2214</v>
      </c>
      <c r="F205" s="13" t="s">
        <v>1784</v>
      </c>
      <c r="G205" s="15" t="s">
        <v>2419</v>
      </c>
      <c r="H205" s="15" t="s">
        <v>2775</v>
      </c>
      <c r="I205" s="15" t="s">
        <v>2055</v>
      </c>
      <c r="J205" s="16"/>
    </row>
    <row r="206" spans="1:10" x14ac:dyDescent="0.3">
      <c r="A206" s="12" t="s">
        <v>3366</v>
      </c>
      <c r="B206" s="12" t="s">
        <v>865</v>
      </c>
      <c r="C206" s="12" t="s">
        <v>870</v>
      </c>
      <c r="D206" s="14" t="s">
        <v>1629</v>
      </c>
      <c r="E206" s="12" t="s">
        <v>2214</v>
      </c>
      <c r="F206" s="13" t="s">
        <v>1785</v>
      </c>
      <c r="G206" s="15" t="s">
        <v>2420</v>
      </c>
      <c r="H206" s="15" t="s">
        <v>2776</v>
      </c>
      <c r="I206" s="15" t="s">
        <v>2056</v>
      </c>
      <c r="J206" s="16"/>
    </row>
    <row r="207" spans="1:10" x14ac:dyDescent="0.3">
      <c r="A207" s="12" t="s">
        <v>3367</v>
      </c>
      <c r="B207" s="12" t="s">
        <v>865</v>
      </c>
      <c r="C207" s="12" t="s">
        <v>870</v>
      </c>
      <c r="D207" s="14" t="s">
        <v>1629</v>
      </c>
      <c r="E207" s="12" t="s">
        <v>2214</v>
      </c>
      <c r="F207" s="13" t="s">
        <v>1786</v>
      </c>
      <c r="G207" s="15" t="s">
        <v>2421</v>
      </c>
      <c r="H207" s="15" t="s">
        <v>2777</v>
      </c>
      <c r="I207" s="15" t="s">
        <v>2057</v>
      </c>
      <c r="J207" s="16"/>
    </row>
    <row r="208" spans="1:10" x14ac:dyDescent="0.3">
      <c r="A208" s="12" t="s">
        <v>3368</v>
      </c>
      <c r="B208" s="12" t="s">
        <v>865</v>
      </c>
      <c r="C208" s="12" t="s">
        <v>870</v>
      </c>
      <c r="D208" s="14" t="s">
        <v>1624</v>
      </c>
      <c r="E208" s="12" t="s">
        <v>2214</v>
      </c>
      <c r="F208" s="13" t="s">
        <v>1787</v>
      </c>
      <c r="G208" s="15" t="s">
        <v>2422</v>
      </c>
      <c r="H208" s="15" t="s">
        <v>2778</v>
      </c>
      <c r="I208" s="15" t="s">
        <v>2058</v>
      </c>
      <c r="J208" s="16"/>
    </row>
    <row r="209" spans="1:10" x14ac:dyDescent="0.3">
      <c r="A209" s="12" t="s">
        <v>3369</v>
      </c>
      <c r="B209" s="12" t="s">
        <v>865</v>
      </c>
      <c r="C209" s="12" t="s">
        <v>870</v>
      </c>
      <c r="D209" s="14" t="s">
        <v>1629</v>
      </c>
      <c r="E209" s="12" t="s">
        <v>2214</v>
      </c>
      <c r="F209" s="13" t="s">
        <v>1788</v>
      </c>
      <c r="G209" s="15" t="s">
        <v>2423</v>
      </c>
      <c r="H209" s="15" t="s">
        <v>2779</v>
      </c>
      <c r="I209" s="15" t="s">
        <v>2059</v>
      </c>
      <c r="J209" s="16"/>
    </row>
    <row r="210" spans="1:10" x14ac:dyDescent="0.3">
      <c r="A210" s="12" t="s">
        <v>3370</v>
      </c>
      <c r="B210" s="12" t="s">
        <v>865</v>
      </c>
      <c r="C210" s="12" t="s">
        <v>870</v>
      </c>
      <c r="D210" s="14" t="s">
        <v>1629</v>
      </c>
      <c r="E210" s="12" t="s">
        <v>2214</v>
      </c>
      <c r="F210" s="13" t="s">
        <v>1789</v>
      </c>
      <c r="G210" s="15" t="s">
        <v>2424</v>
      </c>
      <c r="H210" s="15" t="s">
        <v>2780</v>
      </c>
      <c r="I210" s="15" t="s">
        <v>2060</v>
      </c>
      <c r="J210" s="16"/>
    </row>
    <row r="211" spans="1:10" x14ac:dyDescent="0.3">
      <c r="A211" s="12" t="s">
        <v>3371</v>
      </c>
      <c r="B211" s="12" t="s">
        <v>865</v>
      </c>
      <c r="C211" s="12" t="s">
        <v>870</v>
      </c>
      <c r="D211" s="14" t="s">
        <v>1629</v>
      </c>
      <c r="E211" s="12" t="s">
        <v>2214</v>
      </c>
      <c r="F211" s="13" t="s">
        <v>1790</v>
      </c>
      <c r="G211" s="15" t="s">
        <v>2425</v>
      </c>
      <c r="H211" s="15" t="s">
        <v>2781</v>
      </c>
      <c r="I211" s="15" t="s">
        <v>2061</v>
      </c>
      <c r="J211" s="16"/>
    </row>
    <row r="212" spans="1:10" x14ac:dyDescent="0.3">
      <c r="A212" s="12" t="s">
        <v>3372</v>
      </c>
      <c r="B212" s="12" t="s">
        <v>865</v>
      </c>
      <c r="C212" s="12" t="s">
        <v>870</v>
      </c>
      <c r="D212" s="14" t="s">
        <v>1629</v>
      </c>
      <c r="E212" s="12" t="s">
        <v>2214</v>
      </c>
      <c r="F212" s="13" t="s">
        <v>1791</v>
      </c>
      <c r="G212" s="15" t="s">
        <v>2426</v>
      </c>
      <c r="H212" s="15" t="s">
        <v>2782</v>
      </c>
      <c r="I212" s="15" t="s">
        <v>2062</v>
      </c>
      <c r="J212" s="16"/>
    </row>
    <row r="213" spans="1:10" x14ac:dyDescent="0.3">
      <c r="A213" s="12" t="s">
        <v>3373</v>
      </c>
      <c r="B213" s="12" t="s">
        <v>865</v>
      </c>
      <c r="C213" s="12" t="s">
        <v>870</v>
      </c>
      <c r="D213" s="14" t="s">
        <v>1629</v>
      </c>
      <c r="E213" s="12" t="s">
        <v>2214</v>
      </c>
      <c r="F213" s="13" t="s">
        <v>1792</v>
      </c>
      <c r="G213" s="15" t="s">
        <v>2427</v>
      </c>
      <c r="H213" s="15" t="s">
        <v>2783</v>
      </c>
      <c r="I213" s="15" t="s">
        <v>2063</v>
      </c>
      <c r="J213" s="16"/>
    </row>
    <row r="214" spans="1:10" x14ac:dyDescent="0.3">
      <c r="A214" s="12" t="s">
        <v>3374</v>
      </c>
      <c r="B214" s="12" t="s">
        <v>865</v>
      </c>
      <c r="C214" s="12" t="s">
        <v>870</v>
      </c>
      <c r="D214" s="14" t="s">
        <v>1629</v>
      </c>
      <c r="E214" s="12" t="s">
        <v>2214</v>
      </c>
      <c r="F214" s="13" t="s">
        <v>1793</v>
      </c>
      <c r="G214" s="15" t="s">
        <v>2428</v>
      </c>
      <c r="H214" s="15" t="s">
        <v>2784</v>
      </c>
      <c r="I214" s="15" t="s">
        <v>2064</v>
      </c>
      <c r="J214" s="16"/>
    </row>
    <row r="215" spans="1:10" x14ac:dyDescent="0.3">
      <c r="A215" s="12" t="s">
        <v>3375</v>
      </c>
      <c r="B215" s="12" t="s">
        <v>865</v>
      </c>
      <c r="C215" s="12" t="s">
        <v>870</v>
      </c>
      <c r="D215" s="14" t="s">
        <v>1624</v>
      </c>
      <c r="E215" s="12" t="s">
        <v>2214</v>
      </c>
      <c r="F215" s="13" t="s">
        <v>1794</v>
      </c>
      <c r="G215" s="15" t="s">
        <v>2429</v>
      </c>
      <c r="H215" s="15" t="s">
        <v>2785</v>
      </c>
      <c r="I215" s="15" t="s">
        <v>2065</v>
      </c>
      <c r="J215" s="16"/>
    </row>
    <row r="216" spans="1:10" x14ac:dyDescent="0.3">
      <c r="A216" s="12" t="s">
        <v>3376</v>
      </c>
      <c r="B216" s="12" t="s">
        <v>865</v>
      </c>
      <c r="C216" s="12" t="s">
        <v>870</v>
      </c>
      <c r="D216" s="14" t="s">
        <v>1629</v>
      </c>
      <c r="E216" s="12" t="s">
        <v>2214</v>
      </c>
      <c r="F216" s="13" t="s">
        <v>1795</v>
      </c>
      <c r="G216" s="15" t="s">
        <v>2430</v>
      </c>
      <c r="H216" s="15" t="s">
        <v>2786</v>
      </c>
      <c r="I216" s="15" t="s">
        <v>2066</v>
      </c>
      <c r="J216" s="16"/>
    </row>
    <row r="217" spans="1:10" x14ac:dyDescent="0.3">
      <c r="A217" s="12" t="s">
        <v>3377</v>
      </c>
      <c r="B217" s="12" t="s">
        <v>865</v>
      </c>
      <c r="C217" s="12" t="s">
        <v>870</v>
      </c>
      <c r="D217" s="14" t="s">
        <v>1629</v>
      </c>
      <c r="E217" s="12" t="s">
        <v>2214</v>
      </c>
      <c r="F217" s="13" t="s">
        <v>1796</v>
      </c>
      <c r="G217" s="15" t="s">
        <v>2431</v>
      </c>
      <c r="H217" s="15" t="s">
        <v>2787</v>
      </c>
      <c r="I217" s="15" t="s">
        <v>2067</v>
      </c>
      <c r="J217" s="16"/>
    </row>
    <row r="218" spans="1:10" x14ac:dyDescent="0.3">
      <c r="A218" s="12" t="s">
        <v>3378</v>
      </c>
      <c r="B218" s="12" t="s">
        <v>865</v>
      </c>
      <c r="C218" s="12" t="s">
        <v>870</v>
      </c>
      <c r="D218" s="14" t="s">
        <v>1629</v>
      </c>
      <c r="E218" s="12" t="s">
        <v>2214</v>
      </c>
      <c r="F218" s="13" t="s">
        <v>1797</v>
      </c>
      <c r="G218" s="15" t="s">
        <v>2432</v>
      </c>
      <c r="H218" s="15" t="s">
        <v>2788</v>
      </c>
      <c r="I218" s="15" t="s">
        <v>2068</v>
      </c>
      <c r="J218" s="16"/>
    </row>
    <row r="219" spans="1:10" x14ac:dyDescent="0.3">
      <c r="A219" s="12" t="s">
        <v>3379</v>
      </c>
      <c r="B219" s="12" t="s">
        <v>865</v>
      </c>
      <c r="C219" s="12" t="s">
        <v>870</v>
      </c>
      <c r="D219" s="14" t="s">
        <v>1629</v>
      </c>
      <c r="E219" s="12" t="s">
        <v>2214</v>
      </c>
      <c r="F219" s="13" t="s">
        <v>1798</v>
      </c>
      <c r="G219" s="15" t="s">
        <v>2433</v>
      </c>
      <c r="H219" s="15" t="s">
        <v>2789</v>
      </c>
      <c r="I219" s="15" t="s">
        <v>2069</v>
      </c>
      <c r="J219" s="16"/>
    </row>
    <row r="220" spans="1:10" x14ac:dyDescent="0.3">
      <c r="A220" s="12" t="s">
        <v>3380</v>
      </c>
      <c r="B220" s="12" t="s">
        <v>865</v>
      </c>
      <c r="C220" s="12" t="s">
        <v>870</v>
      </c>
      <c r="D220" s="14" t="s">
        <v>1629</v>
      </c>
      <c r="E220" s="12" t="s">
        <v>2214</v>
      </c>
      <c r="F220" s="13" t="s">
        <v>1799</v>
      </c>
      <c r="G220" s="15" t="s">
        <v>2434</v>
      </c>
      <c r="H220" s="15" t="s">
        <v>2790</v>
      </c>
      <c r="I220" s="15" t="s">
        <v>2070</v>
      </c>
      <c r="J220" s="16"/>
    </row>
    <row r="221" spans="1:10" x14ac:dyDescent="0.3">
      <c r="A221" s="12" t="s">
        <v>3381</v>
      </c>
      <c r="B221" s="12" t="s">
        <v>865</v>
      </c>
      <c r="C221" s="12" t="s">
        <v>870</v>
      </c>
      <c r="D221" s="14" t="s">
        <v>1629</v>
      </c>
      <c r="E221" s="12" t="s">
        <v>2214</v>
      </c>
      <c r="F221" s="13" t="s">
        <v>1800</v>
      </c>
      <c r="G221" s="15" t="s">
        <v>2435</v>
      </c>
      <c r="H221" s="15" t="s">
        <v>2791</v>
      </c>
      <c r="I221" s="15" t="s">
        <v>2071</v>
      </c>
      <c r="J221" s="16"/>
    </row>
    <row r="222" spans="1:10" x14ac:dyDescent="0.3">
      <c r="A222" s="12" t="s">
        <v>3382</v>
      </c>
      <c r="B222" s="12" t="s">
        <v>865</v>
      </c>
      <c r="C222" s="12" t="s">
        <v>870</v>
      </c>
      <c r="D222" s="14" t="s">
        <v>1624</v>
      </c>
      <c r="E222" s="12" t="s">
        <v>2214</v>
      </c>
      <c r="F222" s="13" t="s">
        <v>1801</v>
      </c>
      <c r="G222" s="15" t="s">
        <v>2436</v>
      </c>
      <c r="H222" s="15" t="s">
        <v>2792</v>
      </c>
      <c r="I222" s="15" t="s">
        <v>2072</v>
      </c>
      <c r="J222" s="16"/>
    </row>
    <row r="223" spans="1:10" x14ac:dyDescent="0.3">
      <c r="A223" s="12" t="s">
        <v>3383</v>
      </c>
      <c r="B223" s="12" t="s">
        <v>865</v>
      </c>
      <c r="C223" s="12" t="s">
        <v>870</v>
      </c>
      <c r="D223" s="14" t="s">
        <v>1629</v>
      </c>
      <c r="E223" s="12" t="s">
        <v>2214</v>
      </c>
      <c r="F223" s="13" t="s">
        <v>1802</v>
      </c>
      <c r="G223" s="15" t="s">
        <v>2437</v>
      </c>
      <c r="H223" s="15" t="s">
        <v>2793</v>
      </c>
      <c r="I223" s="15" t="s">
        <v>2073</v>
      </c>
      <c r="J223" s="16"/>
    </row>
    <row r="224" spans="1:10" x14ac:dyDescent="0.3">
      <c r="A224" s="12" t="s">
        <v>3384</v>
      </c>
      <c r="B224" s="12" t="s">
        <v>865</v>
      </c>
      <c r="C224" s="12" t="s">
        <v>870</v>
      </c>
      <c r="D224" s="14" t="s">
        <v>1629</v>
      </c>
      <c r="E224" s="12" t="s">
        <v>2214</v>
      </c>
      <c r="F224" s="13" t="s">
        <v>1803</v>
      </c>
      <c r="G224" s="15" t="s">
        <v>2438</v>
      </c>
      <c r="H224" s="15" t="s">
        <v>2794</v>
      </c>
      <c r="I224" s="15" t="s">
        <v>2074</v>
      </c>
      <c r="J224" s="16"/>
    </row>
    <row r="225" spans="1:10" x14ac:dyDescent="0.3">
      <c r="A225" s="12" t="s">
        <v>3385</v>
      </c>
      <c r="B225" s="12" t="s">
        <v>865</v>
      </c>
      <c r="C225" s="12" t="s">
        <v>870</v>
      </c>
      <c r="D225" s="14" t="s">
        <v>1629</v>
      </c>
      <c r="E225" s="12" t="s">
        <v>2214</v>
      </c>
      <c r="F225" s="13" t="s">
        <v>1804</v>
      </c>
      <c r="G225" s="15" t="s">
        <v>2439</v>
      </c>
      <c r="H225" s="15" t="s">
        <v>2795</v>
      </c>
      <c r="I225" s="15" t="s">
        <v>2075</v>
      </c>
      <c r="J225" s="16"/>
    </row>
    <row r="226" spans="1:10" x14ac:dyDescent="0.3">
      <c r="A226" s="12" t="s">
        <v>3386</v>
      </c>
      <c r="B226" s="12" t="s">
        <v>865</v>
      </c>
      <c r="C226" s="12" t="s">
        <v>870</v>
      </c>
      <c r="D226" s="14" t="s">
        <v>1629</v>
      </c>
      <c r="E226" s="12" t="s">
        <v>2214</v>
      </c>
      <c r="F226" s="13" t="s">
        <v>1805</v>
      </c>
      <c r="G226" s="15" t="s">
        <v>2440</v>
      </c>
      <c r="H226" s="15" t="s">
        <v>2796</v>
      </c>
      <c r="I226" s="15" t="s">
        <v>2076</v>
      </c>
      <c r="J226" s="16"/>
    </row>
    <row r="227" spans="1:10" x14ac:dyDescent="0.3">
      <c r="A227" s="12" t="s">
        <v>3387</v>
      </c>
      <c r="B227" s="12" t="s">
        <v>865</v>
      </c>
      <c r="C227" s="12" t="s">
        <v>870</v>
      </c>
      <c r="D227" s="14" t="s">
        <v>1629</v>
      </c>
      <c r="E227" s="12" t="s">
        <v>2214</v>
      </c>
      <c r="F227" s="13" t="s">
        <v>1806</v>
      </c>
      <c r="G227" s="15" t="s">
        <v>2441</v>
      </c>
      <c r="H227" s="15" t="s">
        <v>2797</v>
      </c>
      <c r="I227" s="15" t="s">
        <v>2077</v>
      </c>
      <c r="J227" s="16"/>
    </row>
    <row r="228" spans="1:10" x14ac:dyDescent="0.3">
      <c r="A228" s="12" t="s">
        <v>3388</v>
      </c>
      <c r="B228" s="12" t="s">
        <v>865</v>
      </c>
      <c r="C228" s="12" t="s">
        <v>870</v>
      </c>
      <c r="D228" s="14" t="s">
        <v>1629</v>
      </c>
      <c r="E228" s="12" t="s">
        <v>2214</v>
      </c>
      <c r="F228" s="13" t="s">
        <v>1807</v>
      </c>
      <c r="G228" s="15" t="s">
        <v>2442</v>
      </c>
      <c r="H228" s="15" t="s">
        <v>2798</v>
      </c>
      <c r="I228" s="15" t="s">
        <v>2078</v>
      </c>
      <c r="J228" s="16"/>
    </row>
    <row r="229" spans="1:10" x14ac:dyDescent="0.3">
      <c r="A229" s="12" t="s">
        <v>3389</v>
      </c>
      <c r="B229" s="12" t="s">
        <v>865</v>
      </c>
      <c r="C229" s="12" t="s">
        <v>870</v>
      </c>
      <c r="D229" s="14" t="s">
        <v>1624</v>
      </c>
      <c r="E229" s="12" t="s">
        <v>2214</v>
      </c>
      <c r="F229" s="13" t="s">
        <v>1808</v>
      </c>
      <c r="G229" s="15" t="s">
        <v>2443</v>
      </c>
      <c r="H229" s="15" t="s">
        <v>2799</v>
      </c>
      <c r="I229" s="15" t="s">
        <v>2079</v>
      </c>
      <c r="J229" s="16"/>
    </row>
    <row r="230" spans="1:10" x14ac:dyDescent="0.3">
      <c r="A230" s="12" t="s">
        <v>3390</v>
      </c>
      <c r="B230" s="12" t="s">
        <v>865</v>
      </c>
      <c r="C230" s="12" t="s">
        <v>870</v>
      </c>
      <c r="D230" s="14" t="s">
        <v>1629</v>
      </c>
      <c r="E230" s="12" t="s">
        <v>2214</v>
      </c>
      <c r="F230" s="13" t="s">
        <v>1809</v>
      </c>
      <c r="G230" s="15" t="s">
        <v>2444</v>
      </c>
      <c r="H230" s="15" t="s">
        <v>2800</v>
      </c>
      <c r="I230" s="15" t="s">
        <v>2080</v>
      </c>
      <c r="J230" s="16"/>
    </row>
    <row r="231" spans="1:10" x14ac:dyDescent="0.3">
      <c r="A231" s="12" t="s">
        <v>3391</v>
      </c>
      <c r="B231" s="12" t="s">
        <v>865</v>
      </c>
      <c r="C231" s="12" t="s">
        <v>870</v>
      </c>
      <c r="D231" s="14" t="s">
        <v>1629</v>
      </c>
      <c r="E231" s="12" t="s">
        <v>2214</v>
      </c>
      <c r="F231" s="13" t="s">
        <v>1810</v>
      </c>
      <c r="G231" s="15" t="s">
        <v>2445</v>
      </c>
      <c r="H231" s="15" t="s">
        <v>2801</v>
      </c>
      <c r="I231" s="15" t="s">
        <v>2081</v>
      </c>
      <c r="J231" s="16"/>
    </row>
    <row r="232" spans="1:10" x14ac:dyDescent="0.3">
      <c r="A232" s="12" t="s">
        <v>3392</v>
      </c>
      <c r="B232" s="12" t="s">
        <v>865</v>
      </c>
      <c r="C232" s="12" t="s">
        <v>870</v>
      </c>
      <c r="D232" s="14" t="s">
        <v>1629</v>
      </c>
      <c r="E232" s="12" t="s">
        <v>2214</v>
      </c>
      <c r="F232" s="13" t="s">
        <v>1811</v>
      </c>
      <c r="G232" s="15" t="s">
        <v>2446</v>
      </c>
      <c r="H232" s="15" t="s">
        <v>2802</v>
      </c>
      <c r="I232" s="15" t="s">
        <v>2082</v>
      </c>
      <c r="J232" s="16"/>
    </row>
    <row r="233" spans="1:10" x14ac:dyDescent="0.3">
      <c r="A233" s="12" t="s">
        <v>3393</v>
      </c>
      <c r="B233" s="12" t="s">
        <v>865</v>
      </c>
      <c r="C233" s="12" t="s">
        <v>870</v>
      </c>
      <c r="D233" s="14" t="s">
        <v>1629</v>
      </c>
      <c r="E233" s="12" t="s">
        <v>2214</v>
      </c>
      <c r="F233" s="13" t="s">
        <v>1812</v>
      </c>
      <c r="G233" s="15" t="s">
        <v>2447</v>
      </c>
      <c r="H233" s="15" t="s">
        <v>2803</v>
      </c>
      <c r="I233" s="15" t="s">
        <v>2083</v>
      </c>
      <c r="J233" s="16"/>
    </row>
    <row r="234" spans="1:10" x14ac:dyDescent="0.3">
      <c r="A234" s="12" t="s">
        <v>3394</v>
      </c>
      <c r="B234" s="12" t="s">
        <v>865</v>
      </c>
      <c r="C234" s="12" t="s">
        <v>870</v>
      </c>
      <c r="D234" s="14" t="s">
        <v>1629</v>
      </c>
      <c r="E234" s="12" t="s">
        <v>2214</v>
      </c>
      <c r="F234" s="13" t="s">
        <v>1813</v>
      </c>
      <c r="G234" s="15" t="s">
        <v>2448</v>
      </c>
      <c r="H234" s="15" t="s">
        <v>2804</v>
      </c>
      <c r="I234" s="15" t="s">
        <v>2084</v>
      </c>
      <c r="J234" s="16"/>
    </row>
    <row r="235" spans="1:10" x14ac:dyDescent="0.3">
      <c r="A235" s="12" t="s">
        <v>3395</v>
      </c>
      <c r="B235" s="12" t="s">
        <v>865</v>
      </c>
      <c r="C235" s="12" t="s">
        <v>870</v>
      </c>
      <c r="D235" s="14" t="s">
        <v>1629</v>
      </c>
      <c r="E235" s="12" t="s">
        <v>2214</v>
      </c>
      <c r="F235" s="13" t="s">
        <v>1814</v>
      </c>
      <c r="G235" s="15" t="s">
        <v>2449</v>
      </c>
      <c r="H235" s="15" t="s">
        <v>2805</v>
      </c>
      <c r="I235" s="15" t="s">
        <v>2085</v>
      </c>
      <c r="J235" s="16"/>
    </row>
    <row r="236" spans="1:10" x14ac:dyDescent="0.3">
      <c r="A236" s="12" t="s">
        <v>3396</v>
      </c>
      <c r="B236" s="12" t="s">
        <v>865</v>
      </c>
      <c r="C236" s="12" t="s">
        <v>870</v>
      </c>
      <c r="D236" s="14" t="s">
        <v>1624</v>
      </c>
      <c r="E236" s="12" t="s">
        <v>2214</v>
      </c>
      <c r="F236" s="13" t="s">
        <v>1815</v>
      </c>
      <c r="G236" s="15" t="s">
        <v>2450</v>
      </c>
      <c r="H236" s="15" t="s">
        <v>2806</v>
      </c>
      <c r="I236" s="15" t="s">
        <v>2086</v>
      </c>
      <c r="J236" s="16"/>
    </row>
    <row r="237" spans="1:10" x14ac:dyDescent="0.3">
      <c r="A237" s="12" t="s">
        <v>3397</v>
      </c>
      <c r="B237" s="12" t="s">
        <v>865</v>
      </c>
      <c r="C237" s="12" t="s">
        <v>870</v>
      </c>
      <c r="D237" s="14" t="s">
        <v>1629</v>
      </c>
      <c r="E237" s="12" t="s">
        <v>2214</v>
      </c>
      <c r="F237" s="13" t="s">
        <v>1816</v>
      </c>
      <c r="G237" s="15" t="s">
        <v>2451</v>
      </c>
      <c r="H237" s="15" t="s">
        <v>2807</v>
      </c>
      <c r="I237" s="15" t="s">
        <v>2087</v>
      </c>
      <c r="J237" s="16"/>
    </row>
    <row r="238" spans="1:10" x14ac:dyDescent="0.3">
      <c r="A238" s="12" t="s">
        <v>3398</v>
      </c>
      <c r="B238" s="12" t="s">
        <v>865</v>
      </c>
      <c r="C238" s="12" t="s">
        <v>870</v>
      </c>
      <c r="D238" s="14" t="s">
        <v>1629</v>
      </c>
      <c r="E238" s="12" t="s">
        <v>2214</v>
      </c>
      <c r="F238" s="13" t="s">
        <v>1817</v>
      </c>
      <c r="G238" s="15" t="s">
        <v>2452</v>
      </c>
      <c r="H238" s="15" t="s">
        <v>2808</v>
      </c>
      <c r="I238" s="15" t="s">
        <v>2088</v>
      </c>
      <c r="J238" s="16"/>
    </row>
    <row r="239" spans="1:10" x14ac:dyDescent="0.3">
      <c r="A239" s="12" t="s">
        <v>3399</v>
      </c>
      <c r="B239" s="12" t="s">
        <v>865</v>
      </c>
      <c r="C239" s="12" t="s">
        <v>870</v>
      </c>
      <c r="D239" s="14" t="s">
        <v>1629</v>
      </c>
      <c r="E239" s="12" t="s">
        <v>2214</v>
      </c>
      <c r="F239" s="13" t="s">
        <v>1818</v>
      </c>
      <c r="G239" s="15" t="s">
        <v>2453</v>
      </c>
      <c r="H239" s="15" t="s">
        <v>2809</v>
      </c>
      <c r="I239" s="15" t="s">
        <v>2089</v>
      </c>
      <c r="J239" s="16"/>
    </row>
    <row r="240" spans="1:10" x14ac:dyDescent="0.3">
      <c r="A240" s="12" t="s">
        <v>3400</v>
      </c>
      <c r="B240" s="12" t="s">
        <v>865</v>
      </c>
      <c r="C240" s="12" t="s">
        <v>870</v>
      </c>
      <c r="D240" s="14" t="s">
        <v>1629</v>
      </c>
      <c r="E240" s="12" t="s">
        <v>2214</v>
      </c>
      <c r="F240" s="13" t="s">
        <v>1819</v>
      </c>
      <c r="G240" s="15" t="s">
        <v>2454</v>
      </c>
      <c r="H240" s="15" t="s">
        <v>2810</v>
      </c>
      <c r="I240" s="15" t="s">
        <v>2090</v>
      </c>
      <c r="J240" s="16"/>
    </row>
    <row r="241" spans="1:10" x14ac:dyDescent="0.3">
      <c r="A241" s="12" t="s">
        <v>3401</v>
      </c>
      <c r="B241" s="12" t="s">
        <v>865</v>
      </c>
      <c r="C241" s="12" t="s">
        <v>870</v>
      </c>
      <c r="D241" s="14" t="s">
        <v>1629</v>
      </c>
      <c r="E241" s="12" t="s">
        <v>2214</v>
      </c>
      <c r="F241" s="13" t="s">
        <v>1820</v>
      </c>
      <c r="G241" s="15" t="s">
        <v>2455</v>
      </c>
      <c r="H241" s="15" t="s">
        <v>2811</v>
      </c>
      <c r="I241" s="15" t="s">
        <v>2091</v>
      </c>
      <c r="J241" s="16"/>
    </row>
    <row r="242" spans="1:10" x14ac:dyDescent="0.3">
      <c r="A242" s="12" t="s">
        <v>3402</v>
      </c>
      <c r="B242" s="12" t="s">
        <v>865</v>
      </c>
      <c r="C242" s="12" t="s">
        <v>870</v>
      </c>
      <c r="D242" s="14" t="s">
        <v>1629</v>
      </c>
      <c r="E242" s="12" t="s">
        <v>2214</v>
      </c>
      <c r="F242" s="13" t="s">
        <v>1821</v>
      </c>
      <c r="G242" s="15" t="s">
        <v>2456</v>
      </c>
      <c r="H242" s="15" t="s">
        <v>2812</v>
      </c>
      <c r="I242" s="15" t="s">
        <v>2092</v>
      </c>
      <c r="J242" s="16"/>
    </row>
    <row r="243" spans="1:10" x14ac:dyDescent="0.3">
      <c r="A243" s="12" t="s">
        <v>3403</v>
      </c>
      <c r="B243" s="12" t="s">
        <v>865</v>
      </c>
      <c r="C243" s="12" t="s">
        <v>870</v>
      </c>
      <c r="D243" s="14" t="s">
        <v>1624</v>
      </c>
      <c r="E243" s="12" t="s">
        <v>2214</v>
      </c>
      <c r="F243" s="13" t="s">
        <v>1822</v>
      </c>
      <c r="G243" s="15" t="s">
        <v>2457</v>
      </c>
      <c r="H243" s="15" t="s">
        <v>2813</v>
      </c>
      <c r="I243" s="15" t="s">
        <v>2093</v>
      </c>
      <c r="J243" s="16"/>
    </row>
    <row r="244" spans="1:10" x14ac:dyDescent="0.3">
      <c r="A244" s="12" t="s">
        <v>3404</v>
      </c>
      <c r="B244" s="12" t="s">
        <v>865</v>
      </c>
      <c r="C244" s="12" t="s">
        <v>870</v>
      </c>
      <c r="D244" s="14" t="s">
        <v>1629</v>
      </c>
      <c r="E244" s="12" t="s">
        <v>2214</v>
      </c>
      <c r="F244" s="13" t="s">
        <v>1823</v>
      </c>
      <c r="G244" s="15" t="s">
        <v>2458</v>
      </c>
      <c r="H244" s="15" t="s">
        <v>2814</v>
      </c>
      <c r="I244" s="15" t="s">
        <v>2094</v>
      </c>
      <c r="J244" s="16"/>
    </row>
    <row r="245" spans="1:10" x14ac:dyDescent="0.3">
      <c r="A245" s="12" t="s">
        <v>3405</v>
      </c>
      <c r="B245" s="12" t="s">
        <v>865</v>
      </c>
      <c r="C245" s="12" t="s">
        <v>870</v>
      </c>
      <c r="D245" s="14" t="s">
        <v>1629</v>
      </c>
      <c r="E245" s="12" t="s">
        <v>2214</v>
      </c>
      <c r="F245" s="13" t="s">
        <v>1824</v>
      </c>
      <c r="G245" s="15" t="s">
        <v>2459</v>
      </c>
      <c r="H245" s="15" t="s">
        <v>2815</v>
      </c>
      <c r="I245" s="15" t="s">
        <v>2095</v>
      </c>
      <c r="J245" s="16"/>
    </row>
    <row r="246" spans="1:10" x14ac:dyDescent="0.3">
      <c r="A246" s="12" t="s">
        <v>3406</v>
      </c>
      <c r="B246" s="12" t="s">
        <v>865</v>
      </c>
      <c r="C246" s="12" t="s">
        <v>870</v>
      </c>
      <c r="D246" s="14" t="s">
        <v>1629</v>
      </c>
      <c r="E246" s="12" t="s">
        <v>2214</v>
      </c>
      <c r="F246" s="13" t="s">
        <v>1825</v>
      </c>
      <c r="G246" s="15" t="s">
        <v>2460</v>
      </c>
      <c r="H246" s="15" t="s">
        <v>2816</v>
      </c>
      <c r="I246" s="15" t="s">
        <v>2096</v>
      </c>
      <c r="J246" s="16"/>
    </row>
    <row r="247" spans="1:10" x14ac:dyDescent="0.3">
      <c r="A247" s="12" t="s">
        <v>3407</v>
      </c>
      <c r="B247" s="12" t="s">
        <v>865</v>
      </c>
      <c r="C247" s="12" t="s">
        <v>870</v>
      </c>
      <c r="D247" s="14" t="s">
        <v>1629</v>
      </c>
      <c r="E247" s="12" t="s">
        <v>2214</v>
      </c>
      <c r="F247" s="13" t="s">
        <v>1826</v>
      </c>
      <c r="G247" s="15" t="s">
        <v>2461</v>
      </c>
      <c r="H247" s="15" t="s">
        <v>2817</v>
      </c>
      <c r="I247" s="15" t="s">
        <v>2097</v>
      </c>
      <c r="J247" s="16"/>
    </row>
    <row r="248" spans="1:10" x14ac:dyDescent="0.3">
      <c r="A248" s="12" t="s">
        <v>3408</v>
      </c>
      <c r="B248" s="12" t="s">
        <v>865</v>
      </c>
      <c r="C248" s="12" t="s">
        <v>870</v>
      </c>
      <c r="D248" s="14" t="s">
        <v>1629</v>
      </c>
      <c r="E248" s="12" t="s">
        <v>2214</v>
      </c>
      <c r="F248" s="13" t="s">
        <v>1827</v>
      </c>
      <c r="G248" s="15" t="s">
        <v>2462</v>
      </c>
      <c r="H248" s="15" t="s">
        <v>2818</v>
      </c>
      <c r="I248" s="15" t="s">
        <v>2098</v>
      </c>
      <c r="J248" s="16"/>
    </row>
    <row r="249" spans="1:10" x14ac:dyDescent="0.3">
      <c r="A249" s="12" t="s">
        <v>3409</v>
      </c>
      <c r="B249" s="12" t="s">
        <v>865</v>
      </c>
      <c r="C249" s="12" t="s">
        <v>870</v>
      </c>
      <c r="D249" s="14" t="s">
        <v>1629</v>
      </c>
      <c r="E249" s="12" t="s">
        <v>2214</v>
      </c>
      <c r="F249" s="13" t="s">
        <v>1828</v>
      </c>
      <c r="G249" s="15" t="s">
        <v>2463</v>
      </c>
      <c r="H249" s="15" t="s">
        <v>2819</v>
      </c>
      <c r="I249" s="15" t="s">
        <v>2099</v>
      </c>
      <c r="J249" s="16"/>
    </row>
    <row r="250" spans="1:10" x14ac:dyDescent="0.3">
      <c r="A250" s="12" t="s">
        <v>3410</v>
      </c>
      <c r="B250" s="12" t="s">
        <v>865</v>
      </c>
      <c r="C250" s="12" t="s">
        <v>870</v>
      </c>
      <c r="D250" s="14" t="s">
        <v>1624</v>
      </c>
      <c r="E250" s="12" t="s">
        <v>2214</v>
      </c>
      <c r="F250" s="13" t="s">
        <v>1829</v>
      </c>
      <c r="G250" s="15" t="s">
        <v>2464</v>
      </c>
      <c r="H250" s="15" t="s">
        <v>2820</v>
      </c>
      <c r="I250" s="15" t="s">
        <v>2100</v>
      </c>
      <c r="J250" s="16"/>
    </row>
    <row r="251" spans="1:10" x14ac:dyDescent="0.3">
      <c r="A251" s="12" t="s">
        <v>3411</v>
      </c>
      <c r="B251" s="12" t="s">
        <v>865</v>
      </c>
      <c r="C251" s="12" t="s">
        <v>870</v>
      </c>
      <c r="D251" s="14" t="s">
        <v>1629</v>
      </c>
      <c r="E251" s="12" t="s">
        <v>2214</v>
      </c>
      <c r="F251" s="13" t="s">
        <v>1830</v>
      </c>
      <c r="G251" s="15" t="s">
        <v>2465</v>
      </c>
      <c r="H251" s="15" t="s">
        <v>2821</v>
      </c>
      <c r="I251" s="15" t="s">
        <v>2101</v>
      </c>
      <c r="J251" s="16"/>
    </row>
    <row r="252" spans="1:10" x14ac:dyDescent="0.3">
      <c r="A252" s="12" t="s">
        <v>3412</v>
      </c>
      <c r="B252" s="12" t="s">
        <v>865</v>
      </c>
      <c r="C252" s="12" t="s">
        <v>870</v>
      </c>
      <c r="D252" s="14" t="s">
        <v>1629</v>
      </c>
      <c r="E252" s="12" t="s">
        <v>2214</v>
      </c>
      <c r="F252" s="13" t="s">
        <v>1831</v>
      </c>
      <c r="G252" s="15" t="s">
        <v>2466</v>
      </c>
      <c r="H252" s="15" t="s">
        <v>2822</v>
      </c>
      <c r="I252" s="15" t="s">
        <v>2102</v>
      </c>
      <c r="J252" s="16"/>
    </row>
    <row r="253" spans="1:10" x14ac:dyDescent="0.3">
      <c r="A253" s="12" t="s">
        <v>3413</v>
      </c>
      <c r="B253" s="12" t="s">
        <v>865</v>
      </c>
      <c r="C253" s="12" t="s">
        <v>870</v>
      </c>
      <c r="D253" s="14" t="s">
        <v>1629</v>
      </c>
      <c r="E253" s="12" t="s">
        <v>2214</v>
      </c>
      <c r="F253" s="13" t="s">
        <v>1832</v>
      </c>
      <c r="G253" s="15" t="s">
        <v>2467</v>
      </c>
      <c r="H253" s="15" t="s">
        <v>2823</v>
      </c>
      <c r="I253" s="15" t="s">
        <v>2103</v>
      </c>
      <c r="J253" s="16"/>
    </row>
    <row r="254" spans="1:10" x14ac:dyDescent="0.3">
      <c r="A254" s="12" t="s">
        <v>3414</v>
      </c>
      <c r="B254" s="12" t="s">
        <v>865</v>
      </c>
      <c r="C254" s="12" t="s">
        <v>870</v>
      </c>
      <c r="D254" s="14" t="s">
        <v>1629</v>
      </c>
      <c r="E254" s="12" t="s">
        <v>2214</v>
      </c>
      <c r="F254" s="13" t="s">
        <v>1833</v>
      </c>
      <c r="G254" s="15" t="s">
        <v>2468</v>
      </c>
      <c r="H254" s="15" t="s">
        <v>2824</v>
      </c>
      <c r="I254" s="15" t="s">
        <v>2104</v>
      </c>
      <c r="J254" s="16"/>
    </row>
    <row r="255" spans="1:10" x14ac:dyDescent="0.3">
      <c r="A255" s="12" t="s">
        <v>3415</v>
      </c>
      <c r="B255" s="12" t="s">
        <v>865</v>
      </c>
      <c r="C255" s="12" t="s">
        <v>870</v>
      </c>
      <c r="D255" s="14" t="s">
        <v>1629</v>
      </c>
      <c r="E255" s="12" t="s">
        <v>2214</v>
      </c>
      <c r="F255" s="13" t="s">
        <v>1834</v>
      </c>
      <c r="G255" s="15" t="s">
        <v>2469</v>
      </c>
      <c r="H255" s="15" t="s">
        <v>2825</v>
      </c>
      <c r="I255" s="15" t="s">
        <v>2105</v>
      </c>
      <c r="J255" s="16"/>
    </row>
    <row r="256" spans="1:10" x14ac:dyDescent="0.3">
      <c r="A256" s="12" t="s">
        <v>3416</v>
      </c>
      <c r="B256" s="12" t="s">
        <v>865</v>
      </c>
      <c r="C256" s="12" t="s">
        <v>870</v>
      </c>
      <c r="D256" s="14" t="s">
        <v>1629</v>
      </c>
      <c r="E256" s="12" t="s">
        <v>2214</v>
      </c>
      <c r="F256" s="13" t="s">
        <v>1835</v>
      </c>
      <c r="G256" s="15" t="s">
        <v>2470</v>
      </c>
      <c r="H256" s="15" t="s">
        <v>2826</v>
      </c>
      <c r="I256" s="15" t="s">
        <v>2106</v>
      </c>
      <c r="J256" s="16"/>
    </row>
    <row r="257" spans="1:10" x14ac:dyDescent="0.3">
      <c r="A257" s="12" t="s">
        <v>3417</v>
      </c>
      <c r="B257" s="12" t="s">
        <v>865</v>
      </c>
      <c r="C257" s="12" t="s">
        <v>870</v>
      </c>
      <c r="D257" s="14" t="s">
        <v>1624</v>
      </c>
      <c r="E257" s="12" t="s">
        <v>2214</v>
      </c>
      <c r="F257" s="13" t="s">
        <v>1836</v>
      </c>
      <c r="G257" s="15" t="s">
        <v>2471</v>
      </c>
      <c r="H257" s="15" t="s">
        <v>2827</v>
      </c>
      <c r="I257" s="15" t="s">
        <v>2107</v>
      </c>
      <c r="J257" s="16"/>
    </row>
    <row r="258" spans="1:10" x14ac:dyDescent="0.3">
      <c r="A258" s="12" t="s">
        <v>3418</v>
      </c>
      <c r="B258" s="12" t="s">
        <v>865</v>
      </c>
      <c r="C258" s="12" t="s">
        <v>870</v>
      </c>
      <c r="D258" s="14" t="s">
        <v>1629</v>
      </c>
      <c r="E258" s="12" t="s">
        <v>2214</v>
      </c>
      <c r="F258" s="13" t="s">
        <v>1837</v>
      </c>
      <c r="G258" s="15" t="s">
        <v>2472</v>
      </c>
      <c r="H258" s="15" t="s">
        <v>2828</v>
      </c>
      <c r="I258" s="15" t="s">
        <v>2108</v>
      </c>
      <c r="J258" s="16"/>
    </row>
    <row r="259" spans="1:10" x14ac:dyDescent="0.3">
      <c r="A259" s="12" t="s">
        <v>3419</v>
      </c>
      <c r="B259" s="12" t="s">
        <v>865</v>
      </c>
      <c r="C259" s="12" t="s">
        <v>870</v>
      </c>
      <c r="D259" s="14" t="s">
        <v>1629</v>
      </c>
      <c r="E259" s="12" t="s">
        <v>2214</v>
      </c>
      <c r="F259" s="13" t="s">
        <v>1838</v>
      </c>
      <c r="G259" s="15" t="s">
        <v>2473</v>
      </c>
      <c r="H259" s="15" t="s">
        <v>2829</v>
      </c>
      <c r="I259" s="15" t="s">
        <v>2109</v>
      </c>
      <c r="J259" s="16"/>
    </row>
    <row r="260" spans="1:10" x14ac:dyDescent="0.3">
      <c r="A260" s="12" t="s">
        <v>3420</v>
      </c>
      <c r="B260" s="12" t="s">
        <v>865</v>
      </c>
      <c r="C260" s="12" t="s">
        <v>870</v>
      </c>
      <c r="D260" s="14" t="s">
        <v>1629</v>
      </c>
      <c r="E260" s="12" t="s">
        <v>2214</v>
      </c>
      <c r="F260" s="13" t="s">
        <v>1839</v>
      </c>
      <c r="G260" s="15" t="s">
        <v>2474</v>
      </c>
      <c r="H260" s="15" t="s">
        <v>2830</v>
      </c>
      <c r="I260" s="15" t="s">
        <v>2110</v>
      </c>
      <c r="J260" s="16"/>
    </row>
    <row r="261" spans="1:10" x14ac:dyDescent="0.3">
      <c r="A261" s="12" t="s">
        <v>3421</v>
      </c>
      <c r="B261" s="12" t="s">
        <v>865</v>
      </c>
      <c r="C261" s="12" t="s">
        <v>870</v>
      </c>
      <c r="D261" s="14" t="s">
        <v>1629</v>
      </c>
      <c r="E261" s="12" t="s">
        <v>2214</v>
      </c>
      <c r="F261" s="13" t="s">
        <v>1840</v>
      </c>
      <c r="G261" s="15" t="s">
        <v>2475</v>
      </c>
      <c r="H261" s="15" t="s">
        <v>2831</v>
      </c>
      <c r="I261" s="15" t="s">
        <v>2111</v>
      </c>
      <c r="J261" s="16"/>
    </row>
    <row r="262" spans="1:10" x14ac:dyDescent="0.3">
      <c r="A262" s="12" t="s">
        <v>3422</v>
      </c>
      <c r="B262" s="12" t="s">
        <v>865</v>
      </c>
      <c r="C262" s="12" t="s">
        <v>870</v>
      </c>
      <c r="D262" s="14" t="s">
        <v>1629</v>
      </c>
      <c r="E262" s="12" t="s">
        <v>2214</v>
      </c>
      <c r="F262" s="13" t="s">
        <v>1841</v>
      </c>
      <c r="G262" s="15" t="s">
        <v>2476</v>
      </c>
      <c r="H262" s="15" t="s">
        <v>2832</v>
      </c>
      <c r="I262" s="15" t="s">
        <v>2112</v>
      </c>
      <c r="J262" s="16"/>
    </row>
    <row r="263" spans="1:10" x14ac:dyDescent="0.3">
      <c r="A263" s="12" t="s">
        <v>3423</v>
      </c>
      <c r="B263" s="12" t="s">
        <v>865</v>
      </c>
      <c r="C263" s="12" t="s">
        <v>870</v>
      </c>
      <c r="D263" s="14" t="s">
        <v>1629</v>
      </c>
      <c r="E263" s="12" t="s">
        <v>2214</v>
      </c>
      <c r="F263" s="13" t="s">
        <v>1842</v>
      </c>
      <c r="G263" s="15" t="s">
        <v>2477</v>
      </c>
      <c r="H263" s="15" t="s">
        <v>2833</v>
      </c>
      <c r="I263" s="15" t="s">
        <v>2113</v>
      </c>
      <c r="J263" s="16"/>
    </row>
    <row r="264" spans="1:10" x14ac:dyDescent="0.3">
      <c r="A264" s="12" t="s">
        <v>3424</v>
      </c>
      <c r="B264" s="12" t="s">
        <v>865</v>
      </c>
      <c r="C264" s="12" t="s">
        <v>870</v>
      </c>
      <c r="D264" s="14" t="s">
        <v>1624</v>
      </c>
      <c r="E264" s="12" t="s">
        <v>2214</v>
      </c>
      <c r="F264" s="13" t="s">
        <v>1843</v>
      </c>
      <c r="G264" s="15" t="s">
        <v>2478</v>
      </c>
      <c r="H264" s="15" t="s">
        <v>2834</v>
      </c>
      <c r="I264" s="15" t="s">
        <v>2114</v>
      </c>
      <c r="J264" s="16"/>
    </row>
    <row r="265" spans="1:10" x14ac:dyDescent="0.3">
      <c r="A265" s="12" t="s">
        <v>3425</v>
      </c>
      <c r="B265" s="12" t="s">
        <v>865</v>
      </c>
      <c r="C265" s="12" t="s">
        <v>870</v>
      </c>
      <c r="D265" s="14" t="s">
        <v>1629</v>
      </c>
      <c r="E265" s="12" t="s">
        <v>2214</v>
      </c>
      <c r="F265" s="13" t="s">
        <v>1844</v>
      </c>
      <c r="G265" s="15" t="s">
        <v>2479</v>
      </c>
      <c r="H265" s="15" t="s">
        <v>2835</v>
      </c>
      <c r="I265" s="15" t="s">
        <v>2115</v>
      </c>
      <c r="J265" s="16"/>
    </row>
    <row r="266" spans="1:10" x14ac:dyDescent="0.3">
      <c r="A266" s="12" t="s">
        <v>3426</v>
      </c>
      <c r="B266" s="12" t="s">
        <v>865</v>
      </c>
      <c r="C266" s="12" t="s">
        <v>870</v>
      </c>
      <c r="D266" s="14" t="s">
        <v>1629</v>
      </c>
      <c r="E266" s="12" t="s">
        <v>2214</v>
      </c>
      <c r="F266" s="13" t="s">
        <v>1845</v>
      </c>
      <c r="G266" s="15" t="s">
        <v>2480</v>
      </c>
      <c r="H266" s="15" t="s">
        <v>2836</v>
      </c>
      <c r="I266" s="15" t="s">
        <v>2116</v>
      </c>
      <c r="J266" s="16"/>
    </row>
    <row r="267" spans="1:10" x14ac:dyDescent="0.3">
      <c r="A267" s="12" t="s">
        <v>3427</v>
      </c>
      <c r="B267" s="12" t="s">
        <v>865</v>
      </c>
      <c r="C267" s="12" t="s">
        <v>870</v>
      </c>
      <c r="D267" s="14" t="s">
        <v>1629</v>
      </c>
      <c r="E267" s="12" t="s">
        <v>2214</v>
      </c>
      <c r="F267" s="13" t="s">
        <v>1846</v>
      </c>
      <c r="G267" s="15" t="s">
        <v>2481</v>
      </c>
      <c r="H267" s="15" t="s">
        <v>2837</v>
      </c>
      <c r="I267" s="15" t="s">
        <v>2117</v>
      </c>
      <c r="J267" s="16"/>
    </row>
    <row r="268" spans="1:10" x14ac:dyDescent="0.3">
      <c r="A268" s="12" t="s">
        <v>3428</v>
      </c>
      <c r="B268" s="12" t="s">
        <v>865</v>
      </c>
      <c r="C268" s="12" t="s">
        <v>870</v>
      </c>
      <c r="D268" s="14" t="s">
        <v>1629</v>
      </c>
      <c r="E268" s="12" t="s">
        <v>2214</v>
      </c>
      <c r="F268" s="13" t="s">
        <v>1847</v>
      </c>
      <c r="G268" s="15" t="s">
        <v>2482</v>
      </c>
      <c r="H268" s="15" t="s">
        <v>2838</v>
      </c>
      <c r="I268" s="15" t="s">
        <v>2118</v>
      </c>
      <c r="J268" s="16"/>
    </row>
    <row r="269" spans="1:10" x14ac:dyDescent="0.3">
      <c r="A269" s="12" t="s">
        <v>3429</v>
      </c>
      <c r="B269" s="12" t="s">
        <v>865</v>
      </c>
      <c r="C269" s="12" t="s">
        <v>870</v>
      </c>
      <c r="D269" s="14" t="s">
        <v>1629</v>
      </c>
      <c r="E269" s="12" t="s">
        <v>2214</v>
      </c>
      <c r="F269" s="13" t="s">
        <v>1848</v>
      </c>
      <c r="G269" s="15" t="s">
        <v>2483</v>
      </c>
      <c r="H269" s="15" t="s">
        <v>2839</v>
      </c>
      <c r="I269" s="15" t="s">
        <v>2119</v>
      </c>
      <c r="J269" s="16"/>
    </row>
    <row r="270" spans="1:10" x14ac:dyDescent="0.3">
      <c r="A270" s="12" t="s">
        <v>3430</v>
      </c>
      <c r="B270" s="12" t="s">
        <v>865</v>
      </c>
      <c r="C270" s="12" t="s">
        <v>870</v>
      </c>
      <c r="D270" s="14" t="s">
        <v>1629</v>
      </c>
      <c r="E270" s="12" t="s">
        <v>2214</v>
      </c>
      <c r="F270" s="13" t="s">
        <v>1849</v>
      </c>
      <c r="G270" s="15" t="s">
        <v>2484</v>
      </c>
      <c r="H270" s="15" t="s">
        <v>2840</v>
      </c>
      <c r="I270" s="15" t="s">
        <v>2120</v>
      </c>
      <c r="J270" s="16"/>
    </row>
    <row r="271" spans="1:10" x14ac:dyDescent="0.3">
      <c r="A271" s="12" t="s">
        <v>3431</v>
      </c>
      <c r="B271" s="12" t="s">
        <v>865</v>
      </c>
      <c r="C271" s="12" t="s">
        <v>870</v>
      </c>
      <c r="D271" s="14" t="s">
        <v>1624</v>
      </c>
      <c r="E271" s="12" t="s">
        <v>1589</v>
      </c>
      <c r="F271" s="13" t="s">
        <v>1850</v>
      </c>
      <c r="G271" s="16" t="s">
        <v>851</v>
      </c>
      <c r="H271" s="16" t="s">
        <v>784</v>
      </c>
      <c r="I271" s="16" t="s">
        <v>511</v>
      </c>
      <c r="J271" s="16"/>
    </row>
    <row r="272" spans="1:10" x14ac:dyDescent="0.3">
      <c r="A272" s="12" t="s">
        <v>3432</v>
      </c>
      <c r="B272" s="12" t="s">
        <v>865</v>
      </c>
      <c r="C272" s="12" t="s">
        <v>870</v>
      </c>
      <c r="D272" s="14" t="s">
        <v>1629</v>
      </c>
      <c r="E272" s="12" t="s">
        <v>2214</v>
      </c>
      <c r="F272" s="13" t="s">
        <v>1851</v>
      </c>
      <c r="G272" s="15" t="s">
        <v>2485</v>
      </c>
      <c r="H272" s="15" t="s">
        <v>2841</v>
      </c>
      <c r="I272" s="15" t="s">
        <v>2121</v>
      </c>
      <c r="J272" s="16"/>
    </row>
    <row r="273" spans="1:10" x14ac:dyDescent="0.3">
      <c r="A273" s="12" t="s">
        <v>3433</v>
      </c>
      <c r="B273" s="12" t="s">
        <v>865</v>
      </c>
      <c r="C273" s="12" t="s">
        <v>870</v>
      </c>
      <c r="D273" s="14" t="s">
        <v>1629</v>
      </c>
      <c r="E273" s="12" t="s">
        <v>2214</v>
      </c>
      <c r="F273" s="13" t="s">
        <v>1852</v>
      </c>
      <c r="G273" s="15" t="s">
        <v>2486</v>
      </c>
      <c r="H273" s="15" t="s">
        <v>2842</v>
      </c>
      <c r="I273" s="15" t="s">
        <v>2122</v>
      </c>
      <c r="J273" s="16"/>
    </row>
    <row r="274" spans="1:10" x14ac:dyDescent="0.3">
      <c r="A274" s="12" t="s">
        <v>3434</v>
      </c>
      <c r="B274" s="12" t="s">
        <v>865</v>
      </c>
      <c r="C274" s="12" t="s">
        <v>870</v>
      </c>
      <c r="D274" s="14" t="s">
        <v>1629</v>
      </c>
      <c r="E274" s="12" t="s">
        <v>2214</v>
      </c>
      <c r="F274" s="13" t="s">
        <v>1853</v>
      </c>
      <c r="G274" s="15" t="s">
        <v>2487</v>
      </c>
      <c r="H274" s="15" t="s">
        <v>2843</v>
      </c>
      <c r="I274" s="15" t="s">
        <v>2123</v>
      </c>
      <c r="J274" s="16"/>
    </row>
    <row r="275" spans="1:10" x14ac:dyDescent="0.3">
      <c r="A275" s="12" t="s">
        <v>3435</v>
      </c>
      <c r="B275" s="12" t="s">
        <v>865</v>
      </c>
      <c r="C275" s="12" t="s">
        <v>870</v>
      </c>
      <c r="D275" s="14" t="s">
        <v>1629</v>
      </c>
      <c r="E275" s="12" t="s">
        <v>2214</v>
      </c>
      <c r="F275" s="13" t="s">
        <v>1854</v>
      </c>
      <c r="G275" s="15" t="s">
        <v>2488</v>
      </c>
      <c r="H275" s="15" t="s">
        <v>2844</v>
      </c>
      <c r="I275" s="15" t="s">
        <v>2124</v>
      </c>
      <c r="J275" s="16"/>
    </row>
    <row r="276" spans="1:10" x14ac:dyDescent="0.3">
      <c r="A276" s="12" t="s">
        <v>3436</v>
      </c>
      <c r="B276" s="12" t="s">
        <v>865</v>
      </c>
      <c r="C276" s="12" t="s">
        <v>870</v>
      </c>
      <c r="D276" s="14" t="s">
        <v>1629</v>
      </c>
      <c r="E276" s="12" t="s">
        <v>2214</v>
      </c>
      <c r="F276" s="13" t="s">
        <v>1855</v>
      </c>
      <c r="G276" s="15" t="s">
        <v>2489</v>
      </c>
      <c r="H276" s="15" t="s">
        <v>2845</v>
      </c>
      <c r="I276" s="15" t="s">
        <v>2125</v>
      </c>
      <c r="J276" s="16"/>
    </row>
    <row r="277" spans="1:10" x14ac:dyDescent="0.3">
      <c r="A277" s="12" t="s">
        <v>3437</v>
      </c>
      <c r="B277" s="12" t="s">
        <v>865</v>
      </c>
      <c r="C277" s="12" t="s">
        <v>870</v>
      </c>
      <c r="D277" s="14" t="s">
        <v>1629</v>
      </c>
      <c r="E277" s="12" t="s">
        <v>2214</v>
      </c>
      <c r="F277" s="13" t="s">
        <v>1856</v>
      </c>
      <c r="G277" s="15" t="s">
        <v>2490</v>
      </c>
      <c r="H277" s="15" t="s">
        <v>2846</v>
      </c>
      <c r="I277" s="15" t="s">
        <v>2126</v>
      </c>
      <c r="J277" s="16"/>
    </row>
    <row r="278" spans="1:10" x14ac:dyDescent="0.3">
      <c r="A278" s="12" t="s">
        <v>3438</v>
      </c>
      <c r="B278" s="12" t="s">
        <v>865</v>
      </c>
      <c r="C278" s="12" t="s">
        <v>867</v>
      </c>
      <c r="D278" s="14" t="s">
        <v>1602</v>
      </c>
      <c r="E278" s="12" t="s">
        <v>1600</v>
      </c>
      <c r="F278" s="13" t="s">
        <v>1857</v>
      </c>
      <c r="G278" s="16" t="s">
        <v>852</v>
      </c>
      <c r="H278" s="16" t="s">
        <v>814</v>
      </c>
      <c r="I278" s="16" t="s">
        <v>499</v>
      </c>
      <c r="J278" s="16"/>
    </row>
    <row r="279" spans="1:10" x14ac:dyDescent="0.3">
      <c r="A279" s="12" t="s">
        <v>3439</v>
      </c>
      <c r="B279" s="12" t="s">
        <v>865</v>
      </c>
      <c r="C279" s="12" t="s">
        <v>867</v>
      </c>
      <c r="D279" s="14" t="s">
        <v>1625</v>
      </c>
      <c r="E279" s="12" t="s">
        <v>1600</v>
      </c>
      <c r="F279" s="13" t="s">
        <v>1858</v>
      </c>
      <c r="G279" s="15" t="s">
        <v>2491</v>
      </c>
      <c r="H279" s="15" t="s">
        <v>2847</v>
      </c>
      <c r="I279" s="15" t="s">
        <v>2127</v>
      </c>
    </row>
    <row r="280" spans="1:10" x14ac:dyDescent="0.3">
      <c r="A280" s="12" t="s">
        <v>3440</v>
      </c>
      <c r="B280" s="12" t="s">
        <v>865</v>
      </c>
      <c r="C280" s="12" t="s">
        <v>867</v>
      </c>
      <c r="D280" s="14" t="s">
        <v>1625</v>
      </c>
      <c r="E280" s="12" t="s">
        <v>1600</v>
      </c>
      <c r="F280" s="13" t="s">
        <v>1859</v>
      </c>
      <c r="G280" s="15" t="s">
        <v>2492</v>
      </c>
      <c r="H280" s="15" t="s">
        <v>2848</v>
      </c>
      <c r="I280" s="15" t="s">
        <v>2128</v>
      </c>
    </row>
    <row r="281" spans="1:10" x14ac:dyDescent="0.3">
      <c r="A281" s="12" t="s">
        <v>3441</v>
      </c>
      <c r="B281" s="12" t="s">
        <v>865</v>
      </c>
      <c r="C281" s="12" t="s">
        <v>867</v>
      </c>
      <c r="D281" s="14" t="s">
        <v>1625</v>
      </c>
      <c r="E281" s="12" t="s">
        <v>1600</v>
      </c>
      <c r="F281" s="13" t="s">
        <v>1860</v>
      </c>
      <c r="G281" s="15" t="s">
        <v>2493</v>
      </c>
      <c r="H281" s="15" t="s">
        <v>2849</v>
      </c>
      <c r="I281" s="15" t="s">
        <v>2129</v>
      </c>
    </row>
    <row r="282" spans="1:10" x14ac:dyDescent="0.3">
      <c r="A282" s="12" t="s">
        <v>3442</v>
      </c>
      <c r="B282" s="12" t="s">
        <v>865</v>
      </c>
      <c r="C282" s="12" t="s">
        <v>867</v>
      </c>
      <c r="D282" s="14" t="s">
        <v>1622</v>
      </c>
      <c r="E282" s="12" t="s">
        <v>1600</v>
      </c>
      <c r="F282" s="13" t="s">
        <v>1605</v>
      </c>
      <c r="G282" s="15" t="s">
        <v>2494</v>
      </c>
      <c r="H282" s="15" t="s">
        <v>2850</v>
      </c>
      <c r="I282" s="15" t="s">
        <v>2130</v>
      </c>
    </row>
    <row r="283" spans="1:10" x14ac:dyDescent="0.3">
      <c r="A283" s="12" t="s">
        <v>3443</v>
      </c>
      <c r="B283" s="12" t="s">
        <v>865</v>
      </c>
      <c r="C283" s="12" t="s">
        <v>867</v>
      </c>
      <c r="D283" s="14" t="s">
        <v>1625</v>
      </c>
      <c r="E283" s="12" t="s">
        <v>1600</v>
      </c>
      <c r="F283" s="13" t="s">
        <v>1615</v>
      </c>
      <c r="G283" s="15" t="s">
        <v>2495</v>
      </c>
      <c r="H283" s="15" t="s">
        <v>2851</v>
      </c>
      <c r="I283" s="15" t="s">
        <v>2131</v>
      </c>
    </row>
    <row r="284" spans="1:10" x14ac:dyDescent="0.3">
      <c r="A284" s="12" t="s">
        <v>3444</v>
      </c>
      <c r="B284" s="12" t="s">
        <v>865</v>
      </c>
      <c r="C284" s="12" t="s">
        <v>867</v>
      </c>
      <c r="D284" s="14" t="s">
        <v>1625</v>
      </c>
      <c r="E284" s="12" t="s">
        <v>1600</v>
      </c>
      <c r="F284" s="13" t="s">
        <v>1616</v>
      </c>
      <c r="G284" s="15" t="s">
        <v>2496</v>
      </c>
      <c r="H284" s="15" t="s">
        <v>2852</v>
      </c>
      <c r="I284" s="15" t="s">
        <v>2132</v>
      </c>
    </row>
    <row r="285" spans="1:10" x14ac:dyDescent="0.3">
      <c r="A285" s="12" t="s">
        <v>3445</v>
      </c>
      <c r="B285" s="12" t="s">
        <v>865</v>
      </c>
      <c r="C285" s="12" t="s">
        <v>867</v>
      </c>
      <c r="D285" s="14" t="s">
        <v>1625</v>
      </c>
      <c r="E285" s="12" t="s">
        <v>1600</v>
      </c>
      <c r="F285" s="13" t="s">
        <v>1617</v>
      </c>
      <c r="G285" s="15" t="s">
        <v>2497</v>
      </c>
      <c r="H285" s="15" t="s">
        <v>2853</v>
      </c>
      <c r="I285" s="15" t="s">
        <v>2133</v>
      </c>
    </row>
    <row r="286" spans="1:10" x14ac:dyDescent="0.3">
      <c r="A286" s="12" t="s">
        <v>3446</v>
      </c>
      <c r="B286" s="12" t="s">
        <v>865</v>
      </c>
      <c r="C286" s="12" t="s">
        <v>867</v>
      </c>
      <c r="D286" s="14" t="s">
        <v>1625</v>
      </c>
      <c r="E286" s="12" t="s">
        <v>1600</v>
      </c>
      <c r="F286" s="13" t="s">
        <v>1618</v>
      </c>
      <c r="G286" s="15" t="s">
        <v>2498</v>
      </c>
      <c r="H286" s="15" t="s">
        <v>2854</v>
      </c>
      <c r="I286" s="15" t="s">
        <v>2134</v>
      </c>
    </row>
    <row r="287" spans="1:10" x14ac:dyDescent="0.3">
      <c r="A287" s="12" t="s">
        <v>3447</v>
      </c>
      <c r="B287" s="12" t="s">
        <v>865</v>
      </c>
      <c r="C287" s="12" t="s">
        <v>867</v>
      </c>
      <c r="D287" s="14" t="s">
        <v>1625</v>
      </c>
      <c r="E287" s="12" t="s">
        <v>1600</v>
      </c>
      <c r="F287" s="13" t="s">
        <v>1619</v>
      </c>
      <c r="G287" s="15" t="s">
        <v>2499</v>
      </c>
      <c r="H287" s="15" t="s">
        <v>2855</v>
      </c>
      <c r="I287" s="15" t="s">
        <v>2135</v>
      </c>
    </row>
    <row r="288" spans="1:10" x14ac:dyDescent="0.3">
      <c r="A288" s="12" t="s">
        <v>3448</v>
      </c>
      <c r="B288" s="12" t="s">
        <v>865</v>
      </c>
      <c r="C288" s="12" t="s">
        <v>867</v>
      </c>
      <c r="D288" s="14" t="s">
        <v>1625</v>
      </c>
      <c r="E288" s="12" t="s">
        <v>1600</v>
      </c>
      <c r="F288" s="13" t="s">
        <v>1620</v>
      </c>
      <c r="G288" s="15" t="s">
        <v>2500</v>
      </c>
      <c r="H288" s="15" t="s">
        <v>2856</v>
      </c>
      <c r="I288" s="15" t="s">
        <v>2136</v>
      </c>
    </row>
    <row r="289" spans="1:9" x14ac:dyDescent="0.3">
      <c r="A289" s="12" t="s">
        <v>3449</v>
      </c>
      <c r="B289" s="12" t="s">
        <v>865</v>
      </c>
      <c r="C289" s="12" t="s">
        <v>867</v>
      </c>
      <c r="D289" s="14" t="s">
        <v>1622</v>
      </c>
      <c r="E289" s="12" t="s">
        <v>1600</v>
      </c>
      <c r="F289" s="13" t="s">
        <v>1612</v>
      </c>
      <c r="G289" s="15" t="s">
        <v>2501</v>
      </c>
      <c r="H289" s="15" t="s">
        <v>2857</v>
      </c>
      <c r="I289" s="15" t="s">
        <v>2137</v>
      </c>
    </row>
    <row r="290" spans="1:9" x14ac:dyDescent="0.3">
      <c r="A290" s="12" t="s">
        <v>3450</v>
      </c>
      <c r="B290" s="12" t="s">
        <v>865</v>
      </c>
      <c r="C290" s="12" t="s">
        <v>867</v>
      </c>
      <c r="D290" s="14" t="s">
        <v>1625</v>
      </c>
      <c r="E290" s="12" t="s">
        <v>1600</v>
      </c>
      <c r="F290" s="13" t="s">
        <v>1630</v>
      </c>
      <c r="G290" s="15" t="s">
        <v>2502</v>
      </c>
      <c r="H290" s="15" t="s">
        <v>2858</v>
      </c>
      <c r="I290" s="15" t="s">
        <v>2138</v>
      </c>
    </row>
    <row r="291" spans="1:9" x14ac:dyDescent="0.3">
      <c r="A291" s="12" t="s">
        <v>3451</v>
      </c>
      <c r="B291" s="12" t="s">
        <v>865</v>
      </c>
      <c r="C291" s="12" t="s">
        <v>867</v>
      </c>
      <c r="D291" s="14" t="s">
        <v>1625</v>
      </c>
      <c r="E291" s="12" t="s">
        <v>1600</v>
      </c>
      <c r="F291" s="13" t="s">
        <v>1631</v>
      </c>
      <c r="G291" s="15" t="s">
        <v>2503</v>
      </c>
      <c r="H291" s="15" t="s">
        <v>2859</v>
      </c>
      <c r="I291" s="15" t="s">
        <v>2139</v>
      </c>
    </row>
    <row r="292" spans="1:9" x14ac:dyDescent="0.3">
      <c r="A292" s="12" t="s">
        <v>3452</v>
      </c>
      <c r="B292" s="12" t="s">
        <v>865</v>
      </c>
      <c r="C292" s="12" t="s">
        <v>867</v>
      </c>
      <c r="D292" s="14" t="s">
        <v>1625</v>
      </c>
      <c r="E292" s="12" t="s">
        <v>1600</v>
      </c>
      <c r="F292" s="13" t="s">
        <v>1632</v>
      </c>
      <c r="G292" s="15" t="s">
        <v>2504</v>
      </c>
      <c r="H292" s="15" t="s">
        <v>2860</v>
      </c>
      <c r="I292" s="15" t="s">
        <v>2140</v>
      </c>
    </row>
    <row r="293" spans="1:9" x14ac:dyDescent="0.3">
      <c r="A293" s="12" t="s">
        <v>3453</v>
      </c>
      <c r="B293" s="12" t="s">
        <v>865</v>
      </c>
      <c r="C293" s="12" t="s">
        <v>867</v>
      </c>
      <c r="D293" s="14" t="s">
        <v>1625</v>
      </c>
      <c r="E293" s="12" t="s">
        <v>1600</v>
      </c>
      <c r="F293" s="13" t="s">
        <v>1633</v>
      </c>
      <c r="G293" s="15" t="s">
        <v>2505</v>
      </c>
      <c r="H293" s="15" t="s">
        <v>2861</v>
      </c>
      <c r="I293" s="15" t="s">
        <v>2141</v>
      </c>
    </row>
    <row r="294" spans="1:9" x14ac:dyDescent="0.3">
      <c r="A294" s="12" t="s">
        <v>3454</v>
      </c>
      <c r="B294" s="12" t="s">
        <v>865</v>
      </c>
      <c r="C294" s="12" t="s">
        <v>867</v>
      </c>
      <c r="D294" s="14" t="s">
        <v>1625</v>
      </c>
      <c r="E294" s="12" t="s">
        <v>1600</v>
      </c>
      <c r="F294" s="13" t="s">
        <v>1634</v>
      </c>
      <c r="G294" s="15" t="s">
        <v>2506</v>
      </c>
      <c r="H294" s="15" t="s">
        <v>2862</v>
      </c>
      <c r="I294" s="15" t="s">
        <v>2142</v>
      </c>
    </row>
    <row r="295" spans="1:9" x14ac:dyDescent="0.3">
      <c r="A295" s="12" t="s">
        <v>3455</v>
      </c>
      <c r="B295" s="12" t="s">
        <v>865</v>
      </c>
      <c r="C295" s="12" t="s">
        <v>867</v>
      </c>
      <c r="D295" s="14" t="s">
        <v>1625</v>
      </c>
      <c r="E295" s="12" t="s">
        <v>1600</v>
      </c>
      <c r="F295" s="13" t="s">
        <v>1635</v>
      </c>
      <c r="G295" s="15" t="s">
        <v>2507</v>
      </c>
      <c r="H295" s="15" t="s">
        <v>2863</v>
      </c>
      <c r="I295" s="15" t="s">
        <v>2143</v>
      </c>
    </row>
    <row r="296" spans="1:9" x14ac:dyDescent="0.3">
      <c r="A296" s="12" t="s">
        <v>3456</v>
      </c>
      <c r="B296" s="12" t="s">
        <v>865</v>
      </c>
      <c r="C296" s="12" t="s">
        <v>867</v>
      </c>
      <c r="D296" s="14" t="s">
        <v>1622</v>
      </c>
      <c r="E296" s="12" t="s">
        <v>1600</v>
      </c>
      <c r="F296" s="13" t="s">
        <v>1613</v>
      </c>
      <c r="G296" s="15" t="s">
        <v>2508</v>
      </c>
      <c r="H296" s="15" t="s">
        <v>2864</v>
      </c>
      <c r="I296" s="15" t="s">
        <v>2144</v>
      </c>
    </row>
    <row r="297" spans="1:9" x14ac:dyDescent="0.3">
      <c r="A297" s="12" t="s">
        <v>3457</v>
      </c>
      <c r="B297" s="12" t="s">
        <v>865</v>
      </c>
      <c r="C297" s="12" t="s">
        <v>867</v>
      </c>
      <c r="D297" s="14" t="s">
        <v>1625</v>
      </c>
      <c r="E297" s="12" t="s">
        <v>1600</v>
      </c>
      <c r="F297" s="13" t="s">
        <v>1636</v>
      </c>
      <c r="G297" s="15" t="s">
        <v>2509</v>
      </c>
      <c r="H297" s="15" t="s">
        <v>2865</v>
      </c>
      <c r="I297" s="15" t="s">
        <v>2145</v>
      </c>
    </row>
    <row r="298" spans="1:9" x14ac:dyDescent="0.3">
      <c r="A298" s="12" t="s">
        <v>3458</v>
      </c>
      <c r="B298" s="12" t="s">
        <v>865</v>
      </c>
      <c r="C298" s="12" t="s">
        <v>867</v>
      </c>
      <c r="D298" s="14" t="s">
        <v>1625</v>
      </c>
      <c r="E298" s="12" t="s">
        <v>1600</v>
      </c>
      <c r="F298" s="13" t="s">
        <v>1637</v>
      </c>
      <c r="G298" s="15" t="s">
        <v>2510</v>
      </c>
      <c r="H298" s="15" t="s">
        <v>2866</v>
      </c>
      <c r="I298" s="15" t="s">
        <v>2146</v>
      </c>
    </row>
    <row r="299" spans="1:9" x14ac:dyDescent="0.3">
      <c r="A299" s="12" t="s">
        <v>3459</v>
      </c>
      <c r="B299" s="12" t="s">
        <v>865</v>
      </c>
      <c r="C299" s="12" t="s">
        <v>867</v>
      </c>
      <c r="D299" s="14" t="s">
        <v>1625</v>
      </c>
      <c r="E299" s="12" t="s">
        <v>1600</v>
      </c>
      <c r="F299" s="13" t="s">
        <v>1638</v>
      </c>
      <c r="G299" s="15" t="s">
        <v>2511</v>
      </c>
      <c r="H299" s="15" t="s">
        <v>2867</v>
      </c>
      <c r="I299" s="15" t="s">
        <v>2147</v>
      </c>
    </row>
    <row r="300" spans="1:9" x14ac:dyDescent="0.3">
      <c r="A300" s="12" t="s">
        <v>3460</v>
      </c>
      <c r="B300" s="12" t="s">
        <v>865</v>
      </c>
      <c r="C300" s="12" t="s">
        <v>867</v>
      </c>
      <c r="D300" s="14" t="s">
        <v>1625</v>
      </c>
      <c r="E300" s="12" t="s">
        <v>1600</v>
      </c>
      <c r="F300" s="13" t="s">
        <v>1639</v>
      </c>
      <c r="G300" s="15" t="s">
        <v>2512</v>
      </c>
      <c r="H300" s="15" t="s">
        <v>2868</v>
      </c>
      <c r="I300" s="15" t="s">
        <v>2148</v>
      </c>
    </row>
    <row r="301" spans="1:9" x14ac:dyDescent="0.3">
      <c r="A301" s="12" t="s">
        <v>3461</v>
      </c>
      <c r="B301" s="12" t="s">
        <v>865</v>
      </c>
      <c r="C301" s="12" t="s">
        <v>867</v>
      </c>
      <c r="D301" s="14" t="s">
        <v>1625</v>
      </c>
      <c r="E301" s="12" t="s">
        <v>1600</v>
      </c>
      <c r="F301" s="13" t="s">
        <v>1640</v>
      </c>
      <c r="G301" s="15" t="s">
        <v>2513</v>
      </c>
      <c r="H301" s="15" t="s">
        <v>2869</v>
      </c>
      <c r="I301" s="15" t="s">
        <v>2149</v>
      </c>
    </row>
    <row r="302" spans="1:9" x14ac:dyDescent="0.3">
      <c r="A302" s="12" t="s">
        <v>3462</v>
      </c>
      <c r="B302" s="12" t="s">
        <v>865</v>
      </c>
      <c r="C302" s="12" t="s">
        <v>867</v>
      </c>
      <c r="D302" s="14" t="s">
        <v>1625</v>
      </c>
      <c r="E302" s="12" t="s">
        <v>1600</v>
      </c>
      <c r="F302" s="13" t="s">
        <v>1641</v>
      </c>
      <c r="G302" s="15" t="s">
        <v>2514</v>
      </c>
      <c r="H302" s="15" t="s">
        <v>2870</v>
      </c>
      <c r="I302" s="15" t="s">
        <v>2150</v>
      </c>
    </row>
    <row r="303" spans="1:9" x14ac:dyDescent="0.3">
      <c r="A303" s="12" t="s">
        <v>3463</v>
      </c>
      <c r="B303" s="12" t="s">
        <v>865</v>
      </c>
      <c r="C303" s="12" t="s">
        <v>867</v>
      </c>
      <c r="D303" s="14" t="s">
        <v>1622</v>
      </c>
      <c r="E303" s="12" t="s">
        <v>2213</v>
      </c>
      <c r="F303" s="13" t="s">
        <v>1614</v>
      </c>
      <c r="G303" s="15" t="s">
        <v>2515</v>
      </c>
      <c r="H303" s="15" t="s">
        <v>2871</v>
      </c>
      <c r="I303" s="15" t="s">
        <v>2151</v>
      </c>
    </row>
    <row r="304" spans="1:9" x14ac:dyDescent="0.3">
      <c r="A304" s="12" t="s">
        <v>3464</v>
      </c>
      <c r="B304" s="12" t="s">
        <v>865</v>
      </c>
      <c r="C304" s="12" t="s">
        <v>867</v>
      </c>
      <c r="D304" s="14" t="s">
        <v>1625</v>
      </c>
      <c r="E304" s="12" t="s">
        <v>1600</v>
      </c>
      <c r="F304" s="13" t="s">
        <v>1642</v>
      </c>
      <c r="G304" s="15" t="s">
        <v>2516</v>
      </c>
      <c r="H304" s="15" t="s">
        <v>2872</v>
      </c>
      <c r="I304" s="15" t="s">
        <v>2152</v>
      </c>
    </row>
    <row r="305" spans="1:10" x14ac:dyDescent="0.3">
      <c r="A305" s="12" t="s">
        <v>3465</v>
      </c>
      <c r="B305" s="12" t="s">
        <v>865</v>
      </c>
      <c r="C305" s="12" t="s">
        <v>867</v>
      </c>
      <c r="D305" s="14" t="s">
        <v>1625</v>
      </c>
      <c r="E305" s="12" t="s">
        <v>1600</v>
      </c>
      <c r="F305" s="13" t="s">
        <v>1643</v>
      </c>
      <c r="G305" s="15" t="s">
        <v>2517</v>
      </c>
      <c r="H305" s="15" t="s">
        <v>2873</v>
      </c>
      <c r="I305" s="15" t="s">
        <v>2153</v>
      </c>
    </row>
    <row r="306" spans="1:10" x14ac:dyDescent="0.3">
      <c r="A306" s="12" t="s">
        <v>3466</v>
      </c>
      <c r="B306" s="12" t="s">
        <v>865</v>
      </c>
      <c r="C306" s="12" t="s">
        <v>867</v>
      </c>
      <c r="D306" s="14" t="s">
        <v>1625</v>
      </c>
      <c r="E306" s="12" t="s">
        <v>1600</v>
      </c>
      <c r="F306" s="13" t="s">
        <v>1644</v>
      </c>
      <c r="G306" s="15" t="s">
        <v>2518</v>
      </c>
      <c r="H306" s="15" t="s">
        <v>2874</v>
      </c>
      <c r="I306" s="15" t="s">
        <v>2154</v>
      </c>
    </row>
    <row r="307" spans="1:10" x14ac:dyDescent="0.3">
      <c r="A307" s="12" t="s">
        <v>3467</v>
      </c>
      <c r="B307" s="12" t="s">
        <v>865</v>
      </c>
      <c r="C307" s="12" t="s">
        <v>867</v>
      </c>
      <c r="D307" s="14" t="s">
        <v>1625</v>
      </c>
      <c r="E307" s="12" t="s">
        <v>1600</v>
      </c>
      <c r="F307" s="13" t="s">
        <v>1645</v>
      </c>
      <c r="G307" s="15" t="s">
        <v>2519</v>
      </c>
      <c r="H307" s="15" t="s">
        <v>2875</v>
      </c>
      <c r="I307" s="15" t="s">
        <v>2155</v>
      </c>
    </row>
    <row r="308" spans="1:10" x14ac:dyDescent="0.3">
      <c r="A308" s="12" t="s">
        <v>3468</v>
      </c>
      <c r="B308" s="12" t="s">
        <v>865</v>
      </c>
      <c r="C308" s="12" t="s">
        <v>867</v>
      </c>
      <c r="D308" s="14" t="s">
        <v>1625</v>
      </c>
      <c r="E308" s="12" t="s">
        <v>1600</v>
      </c>
      <c r="F308" s="13" t="s">
        <v>1646</v>
      </c>
      <c r="G308" s="15" t="s">
        <v>2520</v>
      </c>
      <c r="H308" s="15" t="s">
        <v>2876</v>
      </c>
      <c r="I308" s="15" t="s">
        <v>2156</v>
      </c>
    </row>
    <row r="309" spans="1:10" x14ac:dyDescent="0.3">
      <c r="A309" s="12" t="s">
        <v>3469</v>
      </c>
      <c r="B309" s="12" t="s">
        <v>865</v>
      </c>
      <c r="C309" s="12" t="s">
        <v>867</v>
      </c>
      <c r="D309" s="14" t="s">
        <v>1625</v>
      </c>
      <c r="E309" s="12" t="s">
        <v>1600</v>
      </c>
      <c r="F309" s="13" t="s">
        <v>1647</v>
      </c>
      <c r="G309" s="15" t="s">
        <v>2521</v>
      </c>
      <c r="H309" s="15" t="s">
        <v>2877</v>
      </c>
      <c r="I309" s="15" t="s">
        <v>2157</v>
      </c>
    </row>
    <row r="310" spans="1:10" x14ac:dyDescent="0.3">
      <c r="A310" s="12" t="s">
        <v>3470</v>
      </c>
      <c r="B310" s="12" t="s">
        <v>865</v>
      </c>
      <c r="C310" s="12" t="s">
        <v>867</v>
      </c>
      <c r="D310" s="14" t="s">
        <v>1622</v>
      </c>
      <c r="E310" s="12" t="s">
        <v>1600</v>
      </c>
      <c r="F310" s="13" t="s">
        <v>1648</v>
      </c>
      <c r="G310" s="15" t="s">
        <v>2522</v>
      </c>
      <c r="H310" s="15" t="s">
        <v>2878</v>
      </c>
      <c r="I310" s="15" t="s">
        <v>2158</v>
      </c>
    </row>
    <row r="311" spans="1:10" x14ac:dyDescent="0.3">
      <c r="A311" s="12" t="s">
        <v>3471</v>
      </c>
      <c r="B311" s="12" t="s">
        <v>865</v>
      </c>
      <c r="C311" s="12" t="s">
        <v>867</v>
      </c>
      <c r="D311" s="14" t="s">
        <v>1625</v>
      </c>
      <c r="E311" s="12" t="s">
        <v>1600</v>
      </c>
      <c r="F311" s="13" t="s">
        <v>1649</v>
      </c>
      <c r="G311" s="15" t="s">
        <v>2523</v>
      </c>
      <c r="H311" s="15" t="s">
        <v>2879</v>
      </c>
      <c r="I311" s="15" t="s">
        <v>2159</v>
      </c>
    </row>
    <row r="312" spans="1:10" x14ac:dyDescent="0.3">
      <c r="A312" s="12" t="s">
        <v>3472</v>
      </c>
      <c r="B312" s="12" t="s">
        <v>865</v>
      </c>
      <c r="C312" s="12" t="s">
        <v>867</v>
      </c>
      <c r="D312" s="14" t="s">
        <v>1625</v>
      </c>
      <c r="E312" s="12" t="s">
        <v>1600</v>
      </c>
      <c r="F312" s="13" t="s">
        <v>1650</v>
      </c>
      <c r="G312" s="15" t="s">
        <v>2524</v>
      </c>
      <c r="H312" s="15" t="s">
        <v>2880</v>
      </c>
      <c r="I312" s="15" t="s">
        <v>2160</v>
      </c>
    </row>
    <row r="313" spans="1:10" x14ac:dyDescent="0.3">
      <c r="A313" s="12" t="s">
        <v>3473</v>
      </c>
      <c r="B313" s="12" t="s">
        <v>865</v>
      </c>
      <c r="C313" s="12" t="s">
        <v>867</v>
      </c>
      <c r="D313" s="14" t="s">
        <v>1625</v>
      </c>
      <c r="E313" s="12" t="s">
        <v>1600</v>
      </c>
      <c r="F313" s="13" t="s">
        <v>1651</v>
      </c>
      <c r="G313" s="15" t="s">
        <v>2525</v>
      </c>
      <c r="H313" s="15" t="s">
        <v>2881</v>
      </c>
      <c r="I313" s="15" t="s">
        <v>2161</v>
      </c>
    </row>
    <row r="314" spans="1:10" x14ac:dyDescent="0.3">
      <c r="A314" s="12" t="s">
        <v>3474</v>
      </c>
      <c r="B314" s="12" t="s">
        <v>865</v>
      </c>
      <c r="C314" s="12" t="s">
        <v>867</v>
      </c>
      <c r="D314" s="14" t="s">
        <v>1625</v>
      </c>
      <c r="E314" s="12" t="s">
        <v>1600</v>
      </c>
      <c r="F314" s="13" t="s">
        <v>1652</v>
      </c>
      <c r="G314" s="15" t="s">
        <v>2526</v>
      </c>
      <c r="H314" s="15" t="s">
        <v>2882</v>
      </c>
      <c r="I314" s="15" t="s">
        <v>2162</v>
      </c>
    </row>
    <row r="315" spans="1:10" x14ac:dyDescent="0.3">
      <c r="A315" s="12" t="s">
        <v>3475</v>
      </c>
      <c r="B315" s="12" t="s">
        <v>865</v>
      </c>
      <c r="C315" s="12" t="s">
        <v>867</v>
      </c>
      <c r="D315" s="14" t="s">
        <v>1625</v>
      </c>
      <c r="E315" s="12" t="s">
        <v>1600</v>
      </c>
      <c r="F315" s="13" t="s">
        <v>1653</v>
      </c>
      <c r="G315" s="15" t="s">
        <v>2527</v>
      </c>
      <c r="H315" s="15" t="s">
        <v>2883</v>
      </c>
      <c r="I315" s="15" t="s">
        <v>2163</v>
      </c>
    </row>
    <row r="316" spans="1:10" x14ac:dyDescent="0.3">
      <c r="A316" s="12" t="s">
        <v>3476</v>
      </c>
      <c r="B316" s="12" t="s">
        <v>865</v>
      </c>
      <c r="C316" s="12" t="s">
        <v>867</v>
      </c>
      <c r="D316" s="14" t="s">
        <v>1625</v>
      </c>
      <c r="E316" s="12" t="s">
        <v>1600</v>
      </c>
      <c r="F316" s="13" t="s">
        <v>1654</v>
      </c>
      <c r="G316" s="15" t="s">
        <v>2528</v>
      </c>
      <c r="H316" s="15" t="s">
        <v>2884</v>
      </c>
      <c r="I316" s="15" t="s">
        <v>2164</v>
      </c>
    </row>
    <row r="317" spans="1:10" x14ac:dyDescent="0.3">
      <c r="A317" s="12" t="s">
        <v>3477</v>
      </c>
      <c r="B317" s="12" t="s">
        <v>865</v>
      </c>
      <c r="C317" s="12" t="s">
        <v>867</v>
      </c>
      <c r="D317" s="14" t="s">
        <v>1622</v>
      </c>
      <c r="E317" s="12" t="s">
        <v>1597</v>
      </c>
      <c r="F317" s="13" t="s">
        <v>1655</v>
      </c>
      <c r="G317" s="15" t="s">
        <v>2219</v>
      </c>
      <c r="H317" s="15" t="s">
        <v>2586</v>
      </c>
      <c r="I317" s="15" t="s">
        <v>1611</v>
      </c>
    </row>
    <row r="318" spans="1:10" x14ac:dyDescent="0.3">
      <c r="A318" s="12" t="s">
        <v>3478</v>
      </c>
      <c r="B318" s="12" t="s">
        <v>865</v>
      </c>
      <c r="C318" s="12" t="s">
        <v>867</v>
      </c>
      <c r="D318" s="14" t="s">
        <v>1603</v>
      </c>
      <c r="E318" s="12" t="s">
        <v>1600</v>
      </c>
      <c r="F318" s="13" t="s">
        <v>1656</v>
      </c>
      <c r="G318" s="16" t="s">
        <v>836</v>
      </c>
      <c r="H318" s="16" t="s">
        <v>821</v>
      </c>
      <c r="I318" s="16" t="s">
        <v>500</v>
      </c>
      <c r="J318" s="16"/>
    </row>
    <row r="319" spans="1:10" x14ac:dyDescent="0.3">
      <c r="A319" s="12" t="s">
        <v>3479</v>
      </c>
      <c r="B319" s="12" t="s">
        <v>865</v>
      </c>
      <c r="C319" s="12" t="s">
        <v>867</v>
      </c>
      <c r="D319" s="14" t="s">
        <v>1603</v>
      </c>
      <c r="E319" s="12" t="s">
        <v>1600</v>
      </c>
      <c r="F319" s="13" t="s">
        <v>1657</v>
      </c>
      <c r="G319" s="16" t="s">
        <v>837</v>
      </c>
      <c r="H319" s="16" t="s">
        <v>822</v>
      </c>
      <c r="I319" s="16" t="s">
        <v>501</v>
      </c>
      <c r="J319" s="16"/>
    </row>
    <row r="320" spans="1:10" x14ac:dyDescent="0.3">
      <c r="A320" s="12" t="s">
        <v>3480</v>
      </c>
      <c r="B320" s="12" t="s">
        <v>865</v>
      </c>
      <c r="C320" s="12" t="s">
        <v>867</v>
      </c>
      <c r="D320" s="14" t="s">
        <v>1603</v>
      </c>
      <c r="E320" s="12" t="s">
        <v>1600</v>
      </c>
      <c r="F320" s="13" t="s">
        <v>1658</v>
      </c>
      <c r="G320" s="16" t="s">
        <v>838</v>
      </c>
      <c r="H320" s="16" t="s">
        <v>823</v>
      </c>
      <c r="I320" s="16" t="s">
        <v>502</v>
      </c>
      <c r="J320" s="16"/>
    </row>
    <row r="321" spans="1:10" x14ac:dyDescent="0.3">
      <c r="A321" s="12" t="s">
        <v>3481</v>
      </c>
      <c r="B321" s="12" t="s">
        <v>865</v>
      </c>
      <c r="C321" s="12" t="s">
        <v>867</v>
      </c>
      <c r="D321" s="14" t="s">
        <v>1604</v>
      </c>
      <c r="E321" s="12" t="s">
        <v>1600</v>
      </c>
      <c r="F321" s="13" t="s">
        <v>1659</v>
      </c>
      <c r="G321" s="16" t="s">
        <v>839</v>
      </c>
      <c r="H321" s="16" t="s">
        <v>824</v>
      </c>
      <c r="I321" s="16" t="s">
        <v>503</v>
      </c>
      <c r="J321" s="16"/>
    </row>
    <row r="322" spans="1:10" x14ac:dyDescent="0.3">
      <c r="A322" s="12" t="s">
        <v>3482</v>
      </c>
      <c r="B322" s="12" t="s">
        <v>865</v>
      </c>
      <c r="C322" s="12" t="s">
        <v>867</v>
      </c>
      <c r="D322" s="14" t="s">
        <v>1601</v>
      </c>
      <c r="E322" s="12" t="s">
        <v>1589</v>
      </c>
      <c r="F322" s="13" t="s">
        <v>871</v>
      </c>
      <c r="G322" s="16" t="s">
        <v>840</v>
      </c>
      <c r="H322" s="16" t="s">
        <v>816</v>
      </c>
      <c r="I322" s="16" t="s">
        <v>491</v>
      </c>
      <c r="J322" s="16"/>
    </row>
    <row r="323" spans="1:10" x14ac:dyDescent="0.3">
      <c r="A323" s="12" t="s">
        <v>3483</v>
      </c>
      <c r="B323" s="12" t="s">
        <v>865</v>
      </c>
      <c r="C323" s="12" t="s">
        <v>867</v>
      </c>
      <c r="D323" s="14" t="s">
        <v>1601</v>
      </c>
      <c r="E323" s="12" t="s">
        <v>1597</v>
      </c>
      <c r="F323" s="13" t="s">
        <v>873</v>
      </c>
      <c r="G323" s="16" t="s">
        <v>841</v>
      </c>
      <c r="H323" s="16" t="s">
        <v>817</v>
      </c>
      <c r="I323" s="16" t="s">
        <v>492</v>
      </c>
      <c r="J323" s="16"/>
    </row>
    <row r="324" spans="1:10" x14ac:dyDescent="0.3">
      <c r="A324" s="12" t="s">
        <v>3484</v>
      </c>
      <c r="B324" s="12" t="s">
        <v>865</v>
      </c>
      <c r="C324" s="12" t="s">
        <v>867</v>
      </c>
      <c r="D324" s="14" t="s">
        <v>1601</v>
      </c>
      <c r="E324" s="12" t="s">
        <v>1589</v>
      </c>
      <c r="F324" s="13" t="s">
        <v>874</v>
      </c>
      <c r="G324" s="16" t="s">
        <v>842</v>
      </c>
      <c r="H324" s="16" t="s">
        <v>818</v>
      </c>
      <c r="I324" s="16" t="s">
        <v>493</v>
      </c>
      <c r="J324" s="16"/>
    </row>
    <row r="325" spans="1:10" x14ac:dyDescent="0.3">
      <c r="A325" s="12" t="s">
        <v>3485</v>
      </c>
      <c r="B325" s="12" t="s">
        <v>865</v>
      </c>
      <c r="C325" s="12" t="s">
        <v>1606</v>
      </c>
      <c r="D325" s="14" t="s">
        <v>1601</v>
      </c>
      <c r="E325" s="12" t="s">
        <v>1589</v>
      </c>
      <c r="F325" s="13" t="s">
        <v>1605</v>
      </c>
      <c r="G325" s="16" t="s">
        <v>843</v>
      </c>
      <c r="H325" s="16" t="s">
        <v>815</v>
      </c>
      <c r="I325" s="16" t="s">
        <v>490</v>
      </c>
      <c r="J325" s="16"/>
    </row>
    <row r="326" spans="1:10" x14ac:dyDescent="0.3">
      <c r="A326" s="12" t="s">
        <v>3486</v>
      </c>
      <c r="B326" s="12" t="s">
        <v>865</v>
      </c>
      <c r="C326" s="12" t="s">
        <v>1606</v>
      </c>
      <c r="D326" s="14" t="s">
        <v>1623</v>
      </c>
      <c r="E326" s="12" t="s">
        <v>1589</v>
      </c>
      <c r="F326" s="13" t="s">
        <v>1615</v>
      </c>
      <c r="G326" s="15" t="s">
        <v>2220</v>
      </c>
      <c r="H326" s="15" t="s">
        <v>2885</v>
      </c>
      <c r="I326" s="15" t="s">
        <v>2165</v>
      </c>
    </row>
    <row r="327" spans="1:10" x14ac:dyDescent="0.3">
      <c r="A327" s="12" t="s">
        <v>3487</v>
      </c>
      <c r="B327" s="12" t="s">
        <v>865</v>
      </c>
      <c r="C327" s="12" t="s">
        <v>1606</v>
      </c>
      <c r="D327" s="14" t="s">
        <v>1623</v>
      </c>
      <c r="E327" s="12" t="s">
        <v>1589</v>
      </c>
      <c r="F327" s="13" t="s">
        <v>1616</v>
      </c>
      <c r="G327" s="15" t="s">
        <v>2529</v>
      </c>
      <c r="H327" s="15" t="s">
        <v>2886</v>
      </c>
      <c r="I327" s="15" t="s">
        <v>2166</v>
      </c>
    </row>
    <row r="328" spans="1:10" x14ac:dyDescent="0.3">
      <c r="A328" s="12" t="s">
        <v>3488</v>
      </c>
      <c r="B328" s="12" t="s">
        <v>865</v>
      </c>
      <c r="C328" s="12" t="s">
        <v>1606</v>
      </c>
      <c r="D328" s="14" t="s">
        <v>1623</v>
      </c>
      <c r="E328" s="12" t="s">
        <v>1589</v>
      </c>
      <c r="F328" s="13" t="s">
        <v>1617</v>
      </c>
      <c r="G328" s="15" t="s">
        <v>2530</v>
      </c>
      <c r="H328" s="15" t="s">
        <v>2887</v>
      </c>
      <c r="I328" s="15" t="s">
        <v>2167</v>
      </c>
    </row>
    <row r="329" spans="1:10" x14ac:dyDescent="0.3">
      <c r="A329" s="12" t="s">
        <v>3489</v>
      </c>
      <c r="B329" s="12" t="s">
        <v>865</v>
      </c>
      <c r="C329" s="12" t="s">
        <v>1606</v>
      </c>
      <c r="D329" s="14" t="s">
        <v>1623</v>
      </c>
      <c r="E329" s="12" t="s">
        <v>1589</v>
      </c>
      <c r="F329" s="13" t="s">
        <v>1618</v>
      </c>
      <c r="G329" s="15" t="s">
        <v>2531</v>
      </c>
      <c r="H329" s="15" t="s">
        <v>2888</v>
      </c>
      <c r="I329" s="15" t="s">
        <v>2168</v>
      </c>
    </row>
    <row r="330" spans="1:10" x14ac:dyDescent="0.3">
      <c r="A330" s="12" t="s">
        <v>3490</v>
      </c>
      <c r="B330" s="12" t="s">
        <v>865</v>
      </c>
      <c r="C330" s="12" t="s">
        <v>1606</v>
      </c>
      <c r="D330" s="14" t="s">
        <v>1623</v>
      </c>
      <c r="E330" s="12" t="s">
        <v>1589</v>
      </c>
      <c r="F330" s="13" t="s">
        <v>1619</v>
      </c>
      <c r="G330" s="15" t="s">
        <v>2532</v>
      </c>
      <c r="H330" s="15" t="s">
        <v>2889</v>
      </c>
      <c r="I330" s="15" t="s">
        <v>2169</v>
      </c>
    </row>
    <row r="331" spans="1:10" x14ac:dyDescent="0.3">
      <c r="A331" s="12" t="s">
        <v>3491</v>
      </c>
      <c r="B331" s="12" t="s">
        <v>865</v>
      </c>
      <c r="C331" s="12" t="s">
        <v>1606</v>
      </c>
      <c r="D331" s="14" t="s">
        <v>1623</v>
      </c>
      <c r="E331" s="12" t="s">
        <v>1589</v>
      </c>
      <c r="F331" s="13" t="s">
        <v>1620</v>
      </c>
      <c r="G331" s="15" t="s">
        <v>2533</v>
      </c>
      <c r="H331" s="15" t="s">
        <v>2890</v>
      </c>
      <c r="I331" s="15" t="s">
        <v>2170</v>
      </c>
    </row>
    <row r="332" spans="1:10" x14ac:dyDescent="0.3">
      <c r="A332" s="12" t="s">
        <v>3492</v>
      </c>
      <c r="B332" s="12" t="s">
        <v>865</v>
      </c>
      <c r="C332" s="12" t="s">
        <v>1606</v>
      </c>
      <c r="D332" s="14" t="s">
        <v>1622</v>
      </c>
      <c r="E332" s="12" t="s">
        <v>1589</v>
      </c>
      <c r="F332" s="13" t="s">
        <v>1612</v>
      </c>
      <c r="G332" s="15" t="s">
        <v>2534</v>
      </c>
      <c r="H332" s="15" t="s">
        <v>2891</v>
      </c>
      <c r="I332" s="15" t="s">
        <v>2171</v>
      </c>
    </row>
    <row r="333" spans="1:10" x14ac:dyDescent="0.3">
      <c r="A333" s="12" t="s">
        <v>3493</v>
      </c>
      <c r="B333" s="12" t="s">
        <v>865</v>
      </c>
      <c r="C333" s="12" t="s">
        <v>1606</v>
      </c>
      <c r="D333" s="14" t="s">
        <v>1628</v>
      </c>
      <c r="E333" s="12" t="s">
        <v>1589</v>
      </c>
      <c r="F333" s="13" t="s">
        <v>1630</v>
      </c>
      <c r="G333" s="15" t="s">
        <v>2535</v>
      </c>
      <c r="H333" s="15" t="s">
        <v>2892</v>
      </c>
      <c r="I333" s="15" t="s">
        <v>2172</v>
      </c>
    </row>
    <row r="334" spans="1:10" x14ac:dyDescent="0.3">
      <c r="A334" s="12" t="s">
        <v>3494</v>
      </c>
      <c r="B334" s="12" t="s">
        <v>865</v>
      </c>
      <c r="C334" s="12" t="s">
        <v>1606</v>
      </c>
      <c r="D334" s="14" t="s">
        <v>1628</v>
      </c>
      <c r="E334" s="12" t="s">
        <v>1589</v>
      </c>
      <c r="F334" s="13" t="s">
        <v>1631</v>
      </c>
      <c r="G334" s="15" t="s">
        <v>2536</v>
      </c>
      <c r="H334" s="15" t="s">
        <v>2893</v>
      </c>
      <c r="I334" s="15" t="s">
        <v>2173</v>
      </c>
    </row>
    <row r="335" spans="1:10" x14ac:dyDescent="0.3">
      <c r="A335" s="12" t="s">
        <v>3495</v>
      </c>
      <c r="B335" s="12" t="s">
        <v>865</v>
      </c>
      <c r="C335" s="12" t="s">
        <v>1606</v>
      </c>
      <c r="D335" s="14" t="s">
        <v>1628</v>
      </c>
      <c r="E335" s="12" t="s">
        <v>1589</v>
      </c>
      <c r="F335" s="13" t="s">
        <v>1632</v>
      </c>
      <c r="G335" s="15" t="s">
        <v>2537</v>
      </c>
      <c r="H335" s="15" t="s">
        <v>2894</v>
      </c>
      <c r="I335" s="15" t="s">
        <v>2174</v>
      </c>
    </row>
    <row r="336" spans="1:10" x14ac:dyDescent="0.3">
      <c r="A336" s="12" t="s">
        <v>3496</v>
      </c>
      <c r="B336" s="12" t="s">
        <v>865</v>
      </c>
      <c r="C336" s="12" t="s">
        <v>1606</v>
      </c>
      <c r="D336" s="14" t="s">
        <v>1628</v>
      </c>
      <c r="E336" s="12" t="s">
        <v>1589</v>
      </c>
      <c r="F336" s="13" t="s">
        <v>1633</v>
      </c>
      <c r="G336" s="15" t="s">
        <v>2538</v>
      </c>
      <c r="H336" s="15" t="s">
        <v>2895</v>
      </c>
      <c r="I336" s="15" t="s">
        <v>2175</v>
      </c>
    </row>
    <row r="337" spans="1:9" x14ac:dyDescent="0.3">
      <c r="A337" s="12" t="s">
        <v>3497</v>
      </c>
      <c r="B337" s="12" t="s">
        <v>865</v>
      </c>
      <c r="C337" s="12" t="s">
        <v>1606</v>
      </c>
      <c r="D337" s="14" t="s">
        <v>1628</v>
      </c>
      <c r="E337" s="12" t="s">
        <v>1589</v>
      </c>
      <c r="F337" s="13" t="s">
        <v>1634</v>
      </c>
      <c r="G337" s="15" t="s">
        <v>2539</v>
      </c>
      <c r="H337" s="15" t="s">
        <v>2896</v>
      </c>
      <c r="I337" s="15" t="s">
        <v>2176</v>
      </c>
    </row>
    <row r="338" spans="1:9" x14ac:dyDescent="0.3">
      <c r="A338" s="12" t="s">
        <v>3498</v>
      </c>
      <c r="B338" s="12" t="s">
        <v>865</v>
      </c>
      <c r="C338" s="12" t="s">
        <v>1606</v>
      </c>
      <c r="D338" s="14" t="s">
        <v>1628</v>
      </c>
      <c r="E338" s="12" t="s">
        <v>1589</v>
      </c>
      <c r="F338" s="13" t="s">
        <v>1635</v>
      </c>
      <c r="G338" s="15" t="s">
        <v>2540</v>
      </c>
      <c r="H338" s="15" t="s">
        <v>2897</v>
      </c>
      <c r="I338" s="15" t="s">
        <v>2177</v>
      </c>
    </row>
    <row r="339" spans="1:9" x14ac:dyDescent="0.3">
      <c r="A339" s="12" t="s">
        <v>3499</v>
      </c>
      <c r="B339" s="12" t="s">
        <v>865</v>
      </c>
      <c r="C339" s="12" t="s">
        <v>1606</v>
      </c>
      <c r="D339" s="14" t="s">
        <v>1622</v>
      </c>
      <c r="E339" s="12" t="s">
        <v>1589</v>
      </c>
      <c r="F339" s="13" t="s">
        <v>1613</v>
      </c>
      <c r="G339" s="15" t="s">
        <v>2541</v>
      </c>
      <c r="H339" s="15" t="s">
        <v>2898</v>
      </c>
      <c r="I339" s="15" t="s">
        <v>2178</v>
      </c>
    </row>
    <row r="340" spans="1:9" x14ac:dyDescent="0.3">
      <c r="A340" s="12" t="s">
        <v>3500</v>
      </c>
      <c r="B340" s="12" t="s">
        <v>865</v>
      </c>
      <c r="C340" s="12" t="s">
        <v>1606</v>
      </c>
      <c r="D340" s="14" t="s">
        <v>1628</v>
      </c>
      <c r="E340" s="12" t="s">
        <v>1589</v>
      </c>
      <c r="F340" s="13" t="s">
        <v>1636</v>
      </c>
      <c r="G340" s="15" t="s">
        <v>2542</v>
      </c>
      <c r="H340" s="15" t="s">
        <v>2899</v>
      </c>
      <c r="I340" s="15" t="s">
        <v>2179</v>
      </c>
    </row>
    <row r="341" spans="1:9" x14ac:dyDescent="0.3">
      <c r="A341" s="12" t="s">
        <v>3501</v>
      </c>
      <c r="B341" s="12" t="s">
        <v>865</v>
      </c>
      <c r="C341" s="12" t="s">
        <v>1606</v>
      </c>
      <c r="D341" s="14" t="s">
        <v>1628</v>
      </c>
      <c r="E341" s="12" t="s">
        <v>1589</v>
      </c>
      <c r="F341" s="13" t="s">
        <v>1637</v>
      </c>
      <c r="G341" s="15" t="s">
        <v>2543</v>
      </c>
      <c r="H341" s="15" t="s">
        <v>2900</v>
      </c>
      <c r="I341" s="15" t="s">
        <v>2180</v>
      </c>
    </row>
    <row r="342" spans="1:9" x14ac:dyDescent="0.3">
      <c r="A342" s="12" t="s">
        <v>3502</v>
      </c>
      <c r="B342" s="12" t="s">
        <v>865</v>
      </c>
      <c r="C342" s="12" t="s">
        <v>1606</v>
      </c>
      <c r="D342" s="14" t="s">
        <v>1628</v>
      </c>
      <c r="E342" s="12" t="s">
        <v>1589</v>
      </c>
      <c r="F342" s="13" t="s">
        <v>1638</v>
      </c>
      <c r="G342" s="15" t="s">
        <v>2544</v>
      </c>
      <c r="H342" s="15" t="s">
        <v>2901</v>
      </c>
      <c r="I342" s="15" t="s">
        <v>2181</v>
      </c>
    </row>
    <row r="343" spans="1:9" x14ac:dyDescent="0.3">
      <c r="A343" s="12" t="s">
        <v>3503</v>
      </c>
      <c r="B343" s="12" t="s">
        <v>865</v>
      </c>
      <c r="C343" s="12" t="s">
        <v>1606</v>
      </c>
      <c r="D343" s="14" t="s">
        <v>1628</v>
      </c>
      <c r="E343" s="12" t="s">
        <v>1589</v>
      </c>
      <c r="F343" s="13" t="s">
        <v>1639</v>
      </c>
      <c r="G343" s="15" t="s">
        <v>2545</v>
      </c>
      <c r="H343" s="15" t="s">
        <v>2902</v>
      </c>
      <c r="I343" s="15" t="s">
        <v>2182</v>
      </c>
    </row>
    <row r="344" spans="1:9" x14ac:dyDescent="0.3">
      <c r="A344" s="12" t="s">
        <v>3504</v>
      </c>
      <c r="B344" s="12" t="s">
        <v>865</v>
      </c>
      <c r="C344" s="12" t="s">
        <v>1606</v>
      </c>
      <c r="D344" s="14" t="s">
        <v>1628</v>
      </c>
      <c r="E344" s="12" t="s">
        <v>1589</v>
      </c>
      <c r="F344" s="13" t="s">
        <v>1640</v>
      </c>
      <c r="G344" s="15" t="s">
        <v>2546</v>
      </c>
      <c r="H344" s="15" t="s">
        <v>2903</v>
      </c>
      <c r="I344" s="15" t="s">
        <v>2183</v>
      </c>
    </row>
    <row r="345" spans="1:9" x14ac:dyDescent="0.3">
      <c r="A345" s="12" t="s">
        <v>3505</v>
      </c>
      <c r="B345" s="12" t="s">
        <v>865</v>
      </c>
      <c r="C345" s="12" t="s">
        <v>1606</v>
      </c>
      <c r="D345" s="14" t="s">
        <v>1628</v>
      </c>
      <c r="E345" s="12" t="s">
        <v>1589</v>
      </c>
      <c r="F345" s="13" t="s">
        <v>1641</v>
      </c>
      <c r="G345" s="15" t="s">
        <v>2547</v>
      </c>
      <c r="H345" s="15" t="s">
        <v>2904</v>
      </c>
      <c r="I345" s="15" t="s">
        <v>2184</v>
      </c>
    </row>
    <row r="346" spans="1:9" x14ac:dyDescent="0.3">
      <c r="A346" s="12" t="s">
        <v>3506</v>
      </c>
      <c r="B346" s="12" t="s">
        <v>865</v>
      </c>
      <c r="C346" s="12" t="s">
        <v>1606</v>
      </c>
      <c r="D346" s="14" t="s">
        <v>1622</v>
      </c>
      <c r="E346" s="12" t="s">
        <v>1589</v>
      </c>
      <c r="F346" s="13" t="s">
        <v>1614</v>
      </c>
      <c r="G346" s="15" t="s">
        <v>2548</v>
      </c>
      <c r="H346" s="15" t="s">
        <v>2905</v>
      </c>
      <c r="I346" s="15" t="s">
        <v>2185</v>
      </c>
    </row>
    <row r="347" spans="1:9" x14ac:dyDescent="0.3">
      <c r="A347" s="12" t="s">
        <v>3507</v>
      </c>
      <c r="B347" s="12" t="s">
        <v>865</v>
      </c>
      <c r="C347" s="12" t="s">
        <v>1606</v>
      </c>
      <c r="D347" s="14" t="s">
        <v>1628</v>
      </c>
      <c r="E347" s="12" t="s">
        <v>1589</v>
      </c>
      <c r="F347" s="13" t="s">
        <v>1642</v>
      </c>
      <c r="G347" s="15" t="s">
        <v>2549</v>
      </c>
      <c r="H347" s="15" t="s">
        <v>2906</v>
      </c>
      <c r="I347" s="15" t="s">
        <v>2186</v>
      </c>
    </row>
    <row r="348" spans="1:9" x14ac:dyDescent="0.3">
      <c r="A348" s="12" t="s">
        <v>3508</v>
      </c>
      <c r="B348" s="12" t="s">
        <v>865</v>
      </c>
      <c r="C348" s="12" t="s">
        <v>1606</v>
      </c>
      <c r="D348" s="14" t="s">
        <v>1628</v>
      </c>
      <c r="E348" s="12" t="s">
        <v>1589</v>
      </c>
      <c r="F348" s="13" t="s">
        <v>1643</v>
      </c>
      <c r="G348" s="15" t="s">
        <v>2550</v>
      </c>
      <c r="H348" s="15" t="s">
        <v>2907</v>
      </c>
      <c r="I348" s="15" t="s">
        <v>2187</v>
      </c>
    </row>
    <row r="349" spans="1:9" x14ac:dyDescent="0.3">
      <c r="A349" s="12" t="s">
        <v>3509</v>
      </c>
      <c r="B349" s="12" t="s">
        <v>865</v>
      </c>
      <c r="C349" s="12" t="s">
        <v>1606</v>
      </c>
      <c r="D349" s="14" t="s">
        <v>1628</v>
      </c>
      <c r="E349" s="12" t="s">
        <v>1589</v>
      </c>
      <c r="F349" s="13" t="s">
        <v>1644</v>
      </c>
      <c r="G349" s="15" t="s">
        <v>2551</v>
      </c>
      <c r="H349" s="15" t="s">
        <v>2908</v>
      </c>
      <c r="I349" s="15" t="s">
        <v>2188</v>
      </c>
    </row>
    <row r="350" spans="1:9" x14ac:dyDescent="0.3">
      <c r="A350" s="12" t="s">
        <v>3510</v>
      </c>
      <c r="B350" s="12" t="s">
        <v>865</v>
      </c>
      <c r="C350" s="12" t="s">
        <v>1606</v>
      </c>
      <c r="D350" s="14" t="s">
        <v>1628</v>
      </c>
      <c r="E350" s="12" t="s">
        <v>1589</v>
      </c>
      <c r="F350" s="13" t="s">
        <v>1645</v>
      </c>
      <c r="G350" s="15" t="s">
        <v>2552</v>
      </c>
      <c r="H350" s="15" t="s">
        <v>2909</v>
      </c>
      <c r="I350" s="15" t="s">
        <v>2189</v>
      </c>
    </row>
    <row r="351" spans="1:9" x14ac:dyDescent="0.3">
      <c r="A351" s="12" t="s">
        <v>3511</v>
      </c>
      <c r="B351" s="12" t="s">
        <v>865</v>
      </c>
      <c r="C351" s="12" t="s">
        <v>1606</v>
      </c>
      <c r="D351" s="14" t="s">
        <v>1628</v>
      </c>
      <c r="E351" s="12" t="s">
        <v>1589</v>
      </c>
      <c r="F351" s="13" t="s">
        <v>1646</v>
      </c>
      <c r="G351" s="15" t="s">
        <v>2553</v>
      </c>
      <c r="H351" s="15" t="s">
        <v>2910</v>
      </c>
      <c r="I351" s="15" t="s">
        <v>2190</v>
      </c>
    </row>
    <row r="352" spans="1:9" x14ac:dyDescent="0.3">
      <c r="A352" s="12" t="s">
        <v>3512</v>
      </c>
      <c r="B352" s="12" t="s">
        <v>865</v>
      </c>
      <c r="C352" s="12" t="s">
        <v>1606</v>
      </c>
      <c r="D352" s="14" t="s">
        <v>1628</v>
      </c>
      <c r="E352" s="12" t="s">
        <v>1589</v>
      </c>
      <c r="F352" s="13" t="s">
        <v>1647</v>
      </c>
      <c r="G352" s="15" t="s">
        <v>2554</v>
      </c>
      <c r="H352" s="15" t="s">
        <v>2911</v>
      </c>
      <c r="I352" s="15" t="s">
        <v>2191</v>
      </c>
    </row>
    <row r="353" spans="1:9" x14ac:dyDescent="0.3">
      <c r="A353" s="12" t="s">
        <v>3513</v>
      </c>
      <c r="B353" s="12" t="s">
        <v>865</v>
      </c>
      <c r="C353" s="12" t="s">
        <v>1606</v>
      </c>
      <c r="D353" s="14" t="s">
        <v>1622</v>
      </c>
      <c r="E353" s="12" t="s">
        <v>1589</v>
      </c>
      <c r="F353" s="13" t="s">
        <v>1648</v>
      </c>
      <c r="G353" s="15" t="s">
        <v>2555</v>
      </c>
      <c r="H353" s="15" t="s">
        <v>2912</v>
      </c>
      <c r="I353" s="15" t="s">
        <v>2192</v>
      </c>
    </row>
    <row r="354" spans="1:9" x14ac:dyDescent="0.3">
      <c r="A354" s="12" t="s">
        <v>3514</v>
      </c>
      <c r="B354" s="12" t="s">
        <v>865</v>
      </c>
      <c r="C354" s="12" t="s">
        <v>1606</v>
      </c>
      <c r="D354" s="14" t="s">
        <v>1628</v>
      </c>
      <c r="E354" s="12" t="s">
        <v>1589</v>
      </c>
      <c r="F354" s="13" t="s">
        <v>1649</v>
      </c>
      <c r="G354" s="15" t="s">
        <v>2556</v>
      </c>
      <c r="H354" s="15" t="s">
        <v>2913</v>
      </c>
      <c r="I354" s="15" t="s">
        <v>2193</v>
      </c>
    </row>
    <row r="355" spans="1:9" x14ac:dyDescent="0.3">
      <c r="A355" s="12" t="s">
        <v>3515</v>
      </c>
      <c r="B355" s="12" t="s">
        <v>865</v>
      </c>
      <c r="C355" s="12" t="s">
        <v>1606</v>
      </c>
      <c r="D355" s="14" t="s">
        <v>1628</v>
      </c>
      <c r="E355" s="12" t="s">
        <v>1589</v>
      </c>
      <c r="F355" s="13" t="s">
        <v>1650</v>
      </c>
      <c r="G355" s="15" t="s">
        <v>2557</v>
      </c>
      <c r="H355" s="15" t="s">
        <v>2914</v>
      </c>
      <c r="I355" s="15" t="s">
        <v>2194</v>
      </c>
    </row>
    <row r="356" spans="1:9" x14ac:dyDescent="0.3">
      <c r="A356" s="12" t="s">
        <v>3516</v>
      </c>
      <c r="B356" s="12" t="s">
        <v>865</v>
      </c>
      <c r="C356" s="12" t="s">
        <v>1606</v>
      </c>
      <c r="D356" s="14" t="s">
        <v>1628</v>
      </c>
      <c r="E356" s="12" t="s">
        <v>1589</v>
      </c>
      <c r="F356" s="13" t="s">
        <v>1651</v>
      </c>
      <c r="G356" s="15" t="s">
        <v>2558</v>
      </c>
      <c r="H356" s="15" t="s">
        <v>2915</v>
      </c>
      <c r="I356" s="15" t="s">
        <v>2195</v>
      </c>
    </row>
    <row r="357" spans="1:9" x14ac:dyDescent="0.3">
      <c r="A357" s="12" t="s">
        <v>3517</v>
      </c>
      <c r="B357" s="12" t="s">
        <v>865</v>
      </c>
      <c r="C357" s="12" t="s">
        <v>1606</v>
      </c>
      <c r="D357" s="14" t="s">
        <v>1628</v>
      </c>
      <c r="E357" s="12" t="s">
        <v>1589</v>
      </c>
      <c r="F357" s="13" t="s">
        <v>1652</v>
      </c>
      <c r="G357" s="15" t="s">
        <v>2559</v>
      </c>
      <c r="H357" s="15" t="s">
        <v>2916</v>
      </c>
      <c r="I357" s="15" t="s">
        <v>2196</v>
      </c>
    </row>
    <row r="358" spans="1:9" x14ac:dyDescent="0.3">
      <c r="A358" s="12" t="s">
        <v>3518</v>
      </c>
      <c r="B358" s="12" t="s">
        <v>865</v>
      </c>
      <c r="C358" s="12" t="s">
        <v>1606</v>
      </c>
      <c r="D358" s="14" t="s">
        <v>1628</v>
      </c>
      <c r="E358" s="12" t="s">
        <v>1589</v>
      </c>
      <c r="F358" s="13" t="s">
        <v>1653</v>
      </c>
      <c r="G358" s="15" t="s">
        <v>2560</v>
      </c>
      <c r="H358" s="15" t="s">
        <v>2917</v>
      </c>
      <c r="I358" s="15" t="s">
        <v>2197</v>
      </c>
    </row>
    <row r="359" spans="1:9" x14ac:dyDescent="0.3">
      <c r="A359" s="12" t="s">
        <v>3519</v>
      </c>
      <c r="B359" s="12" t="s">
        <v>865</v>
      </c>
      <c r="C359" s="12" t="s">
        <v>1606</v>
      </c>
      <c r="D359" s="14" t="s">
        <v>1628</v>
      </c>
      <c r="E359" s="12" t="s">
        <v>1589</v>
      </c>
      <c r="F359" s="13" t="s">
        <v>1654</v>
      </c>
      <c r="G359" s="15" t="s">
        <v>2561</v>
      </c>
      <c r="H359" s="15" t="s">
        <v>2918</v>
      </c>
      <c r="I359" s="15" t="s">
        <v>2198</v>
      </c>
    </row>
    <row r="360" spans="1:9" x14ac:dyDescent="0.3">
      <c r="A360" s="12" t="s">
        <v>3520</v>
      </c>
      <c r="B360" s="12" t="s">
        <v>865</v>
      </c>
      <c r="C360" s="12" t="s">
        <v>1606</v>
      </c>
      <c r="D360" s="14" t="s">
        <v>1622</v>
      </c>
      <c r="E360" s="12" t="s">
        <v>1589</v>
      </c>
      <c r="F360" s="13" t="s">
        <v>1655</v>
      </c>
      <c r="G360" s="15" t="s">
        <v>2562</v>
      </c>
      <c r="H360" s="15" t="s">
        <v>2919</v>
      </c>
      <c r="I360" s="15" t="s">
        <v>2199</v>
      </c>
    </row>
    <row r="361" spans="1:9" x14ac:dyDescent="0.3">
      <c r="A361" s="12" t="s">
        <v>3521</v>
      </c>
      <c r="B361" s="12" t="s">
        <v>865</v>
      </c>
      <c r="C361" s="12" t="s">
        <v>1606</v>
      </c>
      <c r="D361" s="14" t="s">
        <v>1628</v>
      </c>
      <c r="E361" s="12" t="s">
        <v>1589</v>
      </c>
      <c r="F361" s="13" t="s">
        <v>1656</v>
      </c>
      <c r="G361" s="15" t="s">
        <v>2563</v>
      </c>
      <c r="H361" s="15" t="s">
        <v>2920</v>
      </c>
      <c r="I361" s="15" t="s">
        <v>2200</v>
      </c>
    </row>
    <row r="362" spans="1:9" x14ac:dyDescent="0.3">
      <c r="A362" s="12" t="s">
        <v>3522</v>
      </c>
      <c r="B362" s="12" t="s">
        <v>865</v>
      </c>
      <c r="C362" s="12" t="s">
        <v>1606</v>
      </c>
      <c r="D362" s="14" t="s">
        <v>1628</v>
      </c>
      <c r="E362" s="12" t="s">
        <v>1589</v>
      </c>
      <c r="F362" s="13" t="s">
        <v>1657</v>
      </c>
      <c r="G362" s="15" t="s">
        <v>2564</v>
      </c>
      <c r="H362" s="15" t="s">
        <v>2921</v>
      </c>
      <c r="I362" s="15" t="s">
        <v>2201</v>
      </c>
    </row>
    <row r="363" spans="1:9" x14ac:dyDescent="0.3">
      <c r="A363" s="12" t="s">
        <v>3523</v>
      </c>
      <c r="B363" s="12" t="s">
        <v>865</v>
      </c>
      <c r="C363" s="12" t="s">
        <v>1606</v>
      </c>
      <c r="D363" s="14" t="s">
        <v>1628</v>
      </c>
      <c r="E363" s="12" t="s">
        <v>1589</v>
      </c>
      <c r="F363" s="13" t="s">
        <v>1658</v>
      </c>
      <c r="G363" s="15" t="s">
        <v>2565</v>
      </c>
      <c r="H363" s="15" t="s">
        <v>2922</v>
      </c>
      <c r="I363" s="15" t="s">
        <v>2202</v>
      </c>
    </row>
    <row r="364" spans="1:9" x14ac:dyDescent="0.3">
      <c r="A364" s="12" t="s">
        <v>3524</v>
      </c>
      <c r="B364" s="12" t="s">
        <v>865</v>
      </c>
      <c r="C364" s="12" t="s">
        <v>1606</v>
      </c>
      <c r="D364" s="14" t="s">
        <v>1628</v>
      </c>
      <c r="E364" s="12" t="s">
        <v>1589</v>
      </c>
      <c r="F364" s="13" t="s">
        <v>1659</v>
      </c>
      <c r="G364" s="15" t="s">
        <v>2566</v>
      </c>
      <c r="H364" s="15" t="s">
        <v>2923</v>
      </c>
      <c r="I364" s="15" t="s">
        <v>2203</v>
      </c>
    </row>
    <row r="365" spans="1:9" x14ac:dyDescent="0.3">
      <c r="A365" s="12" t="s">
        <v>3525</v>
      </c>
      <c r="B365" s="12" t="s">
        <v>865</v>
      </c>
      <c r="C365" s="12" t="s">
        <v>1606</v>
      </c>
      <c r="D365" s="14" t="s">
        <v>1628</v>
      </c>
      <c r="E365" s="12" t="s">
        <v>1589</v>
      </c>
      <c r="F365" s="13" t="s">
        <v>1660</v>
      </c>
      <c r="G365" s="15" t="s">
        <v>2567</v>
      </c>
      <c r="H365" s="15" t="s">
        <v>2924</v>
      </c>
      <c r="I365" s="15" t="s">
        <v>2204</v>
      </c>
    </row>
    <row r="366" spans="1:9" x14ac:dyDescent="0.3">
      <c r="A366" s="12" t="s">
        <v>3526</v>
      </c>
      <c r="B366" s="12" t="s">
        <v>865</v>
      </c>
      <c r="C366" s="12" t="s">
        <v>1606</v>
      </c>
      <c r="D366" s="14" t="s">
        <v>1628</v>
      </c>
      <c r="E366" s="12" t="s">
        <v>1589</v>
      </c>
      <c r="F366" s="13" t="s">
        <v>1661</v>
      </c>
      <c r="G366" s="15" t="s">
        <v>2568</v>
      </c>
      <c r="H366" s="15" t="s">
        <v>2925</v>
      </c>
      <c r="I366" s="15" t="s">
        <v>2205</v>
      </c>
    </row>
    <row r="367" spans="1:9" x14ac:dyDescent="0.3">
      <c r="A367" s="12" t="s">
        <v>3527</v>
      </c>
      <c r="B367" s="12" t="s">
        <v>865</v>
      </c>
      <c r="C367" s="12" t="s">
        <v>1606</v>
      </c>
      <c r="D367" s="14" t="s">
        <v>1622</v>
      </c>
      <c r="E367" s="12" t="s">
        <v>1589</v>
      </c>
      <c r="F367" s="13" t="s">
        <v>1662</v>
      </c>
      <c r="G367" s="15" t="s">
        <v>2569</v>
      </c>
      <c r="H367" s="15" t="s">
        <v>2926</v>
      </c>
      <c r="I367" s="15" t="s">
        <v>2206</v>
      </c>
    </row>
    <row r="368" spans="1:9" x14ac:dyDescent="0.3">
      <c r="A368" s="12" t="s">
        <v>3528</v>
      </c>
      <c r="B368" s="12" t="s">
        <v>865</v>
      </c>
      <c r="C368" s="12" t="s">
        <v>1606</v>
      </c>
      <c r="D368" s="14" t="s">
        <v>1628</v>
      </c>
      <c r="E368" s="12" t="s">
        <v>1589</v>
      </c>
      <c r="F368" s="13" t="s">
        <v>1663</v>
      </c>
      <c r="G368" s="15" t="s">
        <v>2570</v>
      </c>
      <c r="H368" s="15" t="s">
        <v>2927</v>
      </c>
      <c r="I368" s="15" t="s">
        <v>2207</v>
      </c>
    </row>
    <row r="369" spans="1:10" x14ac:dyDescent="0.3">
      <c r="A369" s="12" t="s">
        <v>3529</v>
      </c>
      <c r="B369" s="12" t="s">
        <v>865</v>
      </c>
      <c r="C369" s="12" t="s">
        <v>1606</v>
      </c>
      <c r="D369" s="14" t="s">
        <v>1628</v>
      </c>
      <c r="E369" s="12" t="s">
        <v>1589</v>
      </c>
      <c r="F369" s="13" t="s">
        <v>1664</v>
      </c>
      <c r="G369" s="15" t="s">
        <v>2571</v>
      </c>
      <c r="H369" s="15" t="s">
        <v>2928</v>
      </c>
      <c r="I369" s="15" t="s">
        <v>2208</v>
      </c>
    </row>
    <row r="370" spans="1:10" x14ac:dyDescent="0.3">
      <c r="A370" s="12" t="s">
        <v>3530</v>
      </c>
      <c r="B370" s="12" t="s">
        <v>865</v>
      </c>
      <c r="C370" s="12" t="s">
        <v>1606</v>
      </c>
      <c r="D370" s="14" t="s">
        <v>1628</v>
      </c>
      <c r="E370" s="12" t="s">
        <v>1589</v>
      </c>
      <c r="F370" s="13" t="s">
        <v>1665</v>
      </c>
      <c r="G370" s="15" t="s">
        <v>2572</v>
      </c>
      <c r="H370" s="15" t="s">
        <v>2929</v>
      </c>
      <c r="I370" s="15" t="s">
        <v>2209</v>
      </c>
    </row>
    <row r="371" spans="1:10" x14ac:dyDescent="0.3">
      <c r="A371" s="12" t="s">
        <v>3531</v>
      </c>
      <c r="B371" s="12" t="s">
        <v>865</v>
      </c>
      <c r="C371" s="12" t="s">
        <v>1606</v>
      </c>
      <c r="D371" s="14" t="s">
        <v>1628</v>
      </c>
      <c r="E371" s="12" t="s">
        <v>1589</v>
      </c>
      <c r="F371" s="13" t="s">
        <v>1666</v>
      </c>
      <c r="G371" s="15" t="s">
        <v>2573</v>
      </c>
      <c r="H371" s="15" t="s">
        <v>2930</v>
      </c>
      <c r="I371" s="15" t="s">
        <v>2210</v>
      </c>
    </row>
    <row r="372" spans="1:10" x14ac:dyDescent="0.3">
      <c r="A372" s="12" t="s">
        <v>3532</v>
      </c>
      <c r="B372" s="12" t="s">
        <v>865</v>
      </c>
      <c r="C372" s="12" t="s">
        <v>1606</v>
      </c>
      <c r="D372" s="14" t="s">
        <v>1628</v>
      </c>
      <c r="E372" s="12" t="s">
        <v>1589</v>
      </c>
      <c r="F372" s="13" t="s">
        <v>1667</v>
      </c>
      <c r="G372" s="15" t="s">
        <v>2574</v>
      </c>
      <c r="H372" s="15" t="s">
        <v>2931</v>
      </c>
      <c r="I372" s="15" t="s">
        <v>2211</v>
      </c>
    </row>
    <row r="373" spans="1:10" x14ac:dyDescent="0.3">
      <c r="A373" s="12" t="s">
        <v>3533</v>
      </c>
      <c r="B373" s="12" t="s">
        <v>865</v>
      </c>
      <c r="C373" s="12" t="s">
        <v>1606</v>
      </c>
      <c r="D373" s="14" t="s">
        <v>1628</v>
      </c>
      <c r="E373" s="12" t="s">
        <v>1589</v>
      </c>
      <c r="F373" s="13" t="s">
        <v>1668</v>
      </c>
      <c r="G373" s="15" t="s">
        <v>2575</v>
      </c>
      <c r="H373" s="15" t="s">
        <v>2932</v>
      </c>
      <c r="I373" s="15" t="s">
        <v>2212</v>
      </c>
    </row>
    <row r="374" spans="1:10" x14ac:dyDescent="0.3">
      <c r="A374" s="12" t="s">
        <v>3534</v>
      </c>
      <c r="B374" s="12" t="s">
        <v>865</v>
      </c>
      <c r="C374" s="12" t="s">
        <v>1606</v>
      </c>
      <c r="D374" s="14" t="s">
        <v>1168</v>
      </c>
      <c r="E374" s="12" t="s">
        <v>1589</v>
      </c>
      <c r="F374" s="13" t="s">
        <v>876</v>
      </c>
      <c r="G374" s="16" t="s">
        <v>845</v>
      </c>
      <c r="H374" s="16" t="s">
        <v>819</v>
      </c>
      <c r="I374" s="16" t="s">
        <v>494</v>
      </c>
      <c r="J374" s="16"/>
    </row>
    <row r="375" spans="1:10" x14ac:dyDescent="0.3">
      <c r="A375" s="12" t="s">
        <v>3535</v>
      </c>
      <c r="B375" s="12" t="s">
        <v>865</v>
      </c>
      <c r="C375" s="12" t="s">
        <v>1606</v>
      </c>
      <c r="D375" s="14" t="s">
        <v>1168</v>
      </c>
      <c r="E375" s="12" t="s">
        <v>1597</v>
      </c>
      <c r="F375" s="13" t="s">
        <v>1621</v>
      </c>
      <c r="G375" s="16" t="s">
        <v>844</v>
      </c>
      <c r="H375" s="16" t="s">
        <v>820</v>
      </c>
      <c r="I375" s="16" t="s">
        <v>495</v>
      </c>
      <c r="J375" s="16"/>
    </row>
    <row r="376" spans="1:10" x14ac:dyDescent="0.3">
      <c r="A376" s="12" t="s">
        <v>3536</v>
      </c>
      <c r="B376" s="12" t="s">
        <v>865</v>
      </c>
      <c r="C376" s="12" t="s">
        <v>870</v>
      </c>
      <c r="D376" s="14" t="s">
        <v>1590</v>
      </c>
      <c r="E376" s="12" t="s">
        <v>1589</v>
      </c>
      <c r="F376" s="13" t="s">
        <v>2221</v>
      </c>
      <c r="G376" s="16" t="s">
        <v>2223</v>
      </c>
      <c r="H376" s="16" t="s">
        <v>2587</v>
      </c>
      <c r="I376" s="16" t="s">
        <v>2222</v>
      </c>
      <c r="J376" s="16"/>
    </row>
    <row r="377" spans="1:10" x14ac:dyDescent="0.3">
      <c r="A377" s="12" t="s">
        <v>3537</v>
      </c>
      <c r="B377" s="12" t="s">
        <v>865</v>
      </c>
      <c r="C377" s="12" t="s">
        <v>870</v>
      </c>
      <c r="D377" s="14" t="s">
        <v>1165</v>
      </c>
      <c r="E377" s="12" t="s">
        <v>1589</v>
      </c>
      <c r="F377" s="13" t="s">
        <v>883</v>
      </c>
      <c r="G377" s="16" t="s">
        <v>846</v>
      </c>
      <c r="H377" s="16" t="s">
        <v>662</v>
      </c>
      <c r="I377" s="16" t="s">
        <v>508</v>
      </c>
      <c r="J377" s="16"/>
    </row>
    <row r="378" spans="1:10" x14ac:dyDescent="0.3">
      <c r="A378" s="12" t="s">
        <v>3538</v>
      </c>
      <c r="B378" s="12" t="s">
        <v>865</v>
      </c>
      <c r="C378" s="12" t="s">
        <v>870</v>
      </c>
      <c r="D378" s="14" t="s">
        <v>1165</v>
      </c>
      <c r="E378" s="12" t="s">
        <v>1589</v>
      </c>
      <c r="F378" s="13" t="s">
        <v>884</v>
      </c>
      <c r="G378" s="16" t="s">
        <v>847</v>
      </c>
      <c r="H378" s="16" t="s">
        <v>825</v>
      </c>
      <c r="I378" s="16" t="s">
        <v>509</v>
      </c>
      <c r="J378" s="16"/>
    </row>
    <row r="379" spans="1:10" x14ac:dyDescent="0.3">
      <c r="A379" s="12" t="s">
        <v>3539</v>
      </c>
      <c r="B379" s="12" t="s">
        <v>865</v>
      </c>
      <c r="C379" s="12" t="s">
        <v>870</v>
      </c>
      <c r="D379" s="14" t="s">
        <v>1165</v>
      </c>
      <c r="E379" s="12" t="s">
        <v>1589</v>
      </c>
      <c r="F379" s="13" t="s">
        <v>885</v>
      </c>
      <c r="G379" s="16" t="s">
        <v>848</v>
      </c>
      <c r="H379" s="16" t="s">
        <v>680</v>
      </c>
      <c r="I379" s="16" t="s">
        <v>510</v>
      </c>
      <c r="J379" s="16"/>
    </row>
    <row r="380" spans="1:10" x14ac:dyDescent="0.3">
      <c r="A380" s="12" t="s">
        <v>3540</v>
      </c>
      <c r="B380" s="12" t="s">
        <v>865</v>
      </c>
      <c r="C380" s="12" t="s">
        <v>870</v>
      </c>
      <c r="D380" s="14" t="s">
        <v>1590</v>
      </c>
      <c r="E380" s="12" t="s">
        <v>1589</v>
      </c>
      <c r="F380" s="13" t="s">
        <v>889</v>
      </c>
      <c r="G380" s="16" t="s">
        <v>849</v>
      </c>
      <c r="H380" s="16" t="s">
        <v>681</v>
      </c>
      <c r="I380" s="16" t="s">
        <v>536</v>
      </c>
      <c r="J380" s="16"/>
    </row>
  </sheetData>
  <phoneticPr fontId="2" type="noConversion"/>
  <conditionalFormatting sqref="E1:E1048576">
    <cfRule type="containsText" dxfId="1" priority="1" operator="containsText" text="00000000">
      <formula>NOT(ISERROR(SEARCH("00000000",E1)))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22ACD-3F79-49EF-8B71-A0573287C899}">
  <dimension ref="A1:AH390"/>
  <sheetViews>
    <sheetView topLeftCell="T2" zoomScale="85" zoomScaleNormal="85" workbookViewId="0">
      <selection activeCell="AG24" sqref="AE24:AG24"/>
    </sheetView>
  </sheetViews>
  <sheetFormatPr defaultRowHeight="14.4" customHeight="1" x14ac:dyDescent="0.3"/>
  <cols>
    <col min="1" max="1" width="32.33203125" style="7" bestFit="1" customWidth="1"/>
    <col min="2" max="2" width="13.44140625" style="7" bestFit="1" customWidth="1"/>
    <col min="3" max="3" width="102.33203125" style="7" bestFit="1" customWidth="1"/>
    <col min="4" max="4" width="130.109375" style="7" bestFit="1" customWidth="1"/>
    <col min="5" max="5" width="72.33203125" style="7" bestFit="1" customWidth="1"/>
    <col min="6" max="6" width="9" style="7" hidden="1" customWidth="1"/>
    <col min="7" max="7" width="13.44140625" style="7" hidden="1" customWidth="1"/>
    <col min="8" max="8" width="11.21875" style="7" hidden="1" customWidth="1"/>
    <col min="9" max="9" width="15.6640625" style="7" hidden="1" customWidth="1"/>
    <col min="10" max="10" width="92.33203125" style="5" hidden="1" customWidth="1"/>
    <col min="11" max="11" width="9" style="5" hidden="1" customWidth="1"/>
    <col min="12" max="12" width="83.44140625" style="5" hidden="1" customWidth="1"/>
    <col min="13" max="13" width="10.6640625" style="5" customWidth="1"/>
    <col min="14" max="14" width="13.44140625" bestFit="1" customWidth="1"/>
    <col min="15" max="15" width="13.44140625" style="3" bestFit="1" customWidth="1"/>
    <col min="16" max="16" width="16.77734375" style="4" bestFit="1" customWidth="1"/>
    <col min="17" max="17" width="102.33203125" style="2" bestFit="1" customWidth="1"/>
    <col min="18" max="18" width="130.109375" style="9" bestFit="1" customWidth="1"/>
    <col min="19" max="19" width="72.33203125" style="2" bestFit="1" customWidth="1"/>
    <col min="20" max="20" width="39" bestFit="1" customWidth="1"/>
    <col min="22" max="22" width="26.6640625" customWidth="1"/>
    <col min="28" max="28" width="109" hidden="1" customWidth="1"/>
    <col min="29" max="29" width="13.44140625" style="3" bestFit="1" customWidth="1"/>
    <col min="30" max="30" width="16.77734375" bestFit="1" customWidth="1"/>
    <col min="31" max="31" width="74.5546875" bestFit="1" customWidth="1"/>
    <col min="32" max="32" width="62.33203125" bestFit="1" customWidth="1"/>
    <col min="33" max="33" width="54.5546875" bestFit="1" customWidth="1"/>
    <col min="34" max="34" width="13.44140625" bestFit="1" customWidth="1"/>
  </cols>
  <sheetData>
    <row r="1" spans="1:34" ht="14.4" customHeight="1" x14ac:dyDescent="0.3">
      <c r="N1" t="s">
        <v>0</v>
      </c>
      <c r="AB1" t="s">
        <v>1</v>
      </c>
    </row>
    <row r="2" spans="1:34" ht="14.4" customHeight="1" x14ac:dyDescent="0.3">
      <c r="A2" s="7" t="s">
        <v>575</v>
      </c>
      <c r="B2" s="7" t="s">
        <v>21</v>
      </c>
      <c r="C2" s="7" t="s">
        <v>583</v>
      </c>
      <c r="D2" s="7" t="s">
        <v>584</v>
      </c>
      <c r="E2" s="7" t="s">
        <v>585</v>
      </c>
      <c r="F2" s="7" t="s">
        <v>576</v>
      </c>
      <c r="G2" s="7" t="s">
        <v>2</v>
      </c>
      <c r="H2" s="7" t="s">
        <v>3</v>
      </c>
      <c r="I2" s="7" t="s">
        <v>577</v>
      </c>
      <c r="J2" s="5" t="s">
        <v>579</v>
      </c>
      <c r="L2" s="5" t="s">
        <v>580</v>
      </c>
      <c r="N2" t="s">
        <v>2</v>
      </c>
      <c r="O2" s="3" t="s">
        <v>21</v>
      </c>
      <c r="P2" s="4" t="s">
        <v>3</v>
      </c>
      <c r="Q2" s="2" t="s">
        <v>4</v>
      </c>
      <c r="R2" s="9" t="s">
        <v>586</v>
      </c>
      <c r="S2" s="2" t="s">
        <v>5</v>
      </c>
      <c r="T2" t="s">
        <v>458</v>
      </c>
      <c r="V2" t="s">
        <v>575</v>
      </c>
      <c r="W2" t="s">
        <v>576</v>
      </c>
      <c r="X2" t="s">
        <v>864</v>
      </c>
      <c r="Y2" t="s">
        <v>3</v>
      </c>
      <c r="Z2" t="s">
        <v>577</v>
      </c>
      <c r="AB2" t="s">
        <v>472</v>
      </c>
      <c r="AC2" s="3" t="s">
        <v>21</v>
      </c>
      <c r="AD2" t="s">
        <v>3</v>
      </c>
      <c r="AE2" t="s">
        <v>4</v>
      </c>
      <c r="AF2" t="s">
        <v>584</v>
      </c>
      <c r="AG2" t="s">
        <v>5</v>
      </c>
      <c r="AH2" t="s">
        <v>458</v>
      </c>
    </row>
    <row r="3" spans="1:34" ht="14.4" customHeight="1" x14ac:dyDescent="0.3">
      <c r="A3" s="7" t="str">
        <f t="shared" ref="A3:A66" si="0">IF(OR(F3="",G3="",H3="",I3=""),"",_xlfn.CONCAT(F3,".",G3,".",H3,".",I3))</f>
        <v>fix.0101.031.octna</v>
      </c>
      <c r="B3" s="7" t="str">
        <f>IF(O3="","",TEXT(O3,"0##"))</f>
        <v>031</v>
      </c>
      <c r="C3" s="8" t="str">
        <f>IF(Q3="","",TEXT(Q3,""))</f>
        <v>In octava Nativitatis SOLLEMNITAS SANCTÆ DEI GENETRICIS MARIÆ</v>
      </c>
      <c r="D3" s="8" t="str">
        <f t="shared" ref="D3:D66" si="1">IF(R3="","",TEXT(R3,""))</f>
        <v>The Octave Day of the Nativity of the Lord: Solemnity of Mary, the Holy Mother of God</v>
      </c>
      <c r="E3" s="8" t="str">
        <f t="shared" ref="E3:E67" si="2">IF(S3="","",TEXT(S3,""))</f>
        <v>성탄 팔일 축제 제8일, 천주의 성모 마리아 대축일</v>
      </c>
      <c r="F3" s="7" t="s">
        <v>578</v>
      </c>
      <c r="G3" s="7" t="str">
        <f>TEXT(N3, "mmdd")</f>
        <v>0101</v>
      </c>
      <c r="H3" s="7" t="str">
        <f>IF(ISBLANK(O3), "", TEXT(O3, "0##"))</f>
        <v>031</v>
      </c>
      <c r="I3" s="7" t="str">
        <f>IF(J3="","",IF(K3="",LEFT(J3,5),IF(K3&lt;4,_xlfn.CONCAT(LEFT(J3,K3-1),LEFT(L3,5-K3+1)),_xlfn.CONCAT(LEFT(J3,3),LEFT(L3,2)))))</f>
        <v>octna</v>
      </c>
      <c r="J3" s="6" t="str">
        <f>IFERROR(_xlfn.CONCAT(_xlfn.TEXTSPLIT(SUBSTITUTE(SUBSTITUTE(LOWER(Q3),"æ","ae"), " de ", " "),{"b. ","ss. ","s. ","ss.mi ","in ",".",","," et","sanctae ","ę","ũ"})), "")</f>
        <v>octava nativitatis sollemnitas dei genetricis mariae</v>
      </c>
      <c r="K3" s="6">
        <f>IFERROR(FIND(" ", J3), "")</f>
        <v>7</v>
      </c>
      <c r="L3" s="6" t="str">
        <f>SUBSTITUTE(IFERROR(RIGHT(J3, LEN(J3)-K3), ""), " ", "")</f>
        <v>nativitatissollemnitasdeigenetricismariae</v>
      </c>
      <c r="M3" s="6"/>
      <c r="N3" s="1">
        <v>45658</v>
      </c>
      <c r="O3" s="3" t="s">
        <v>459</v>
      </c>
      <c r="P3" s="4" t="s">
        <v>7</v>
      </c>
      <c r="Q3" s="2" t="s">
        <v>587</v>
      </c>
      <c r="R3" s="9" t="s">
        <v>589</v>
      </c>
      <c r="S3" s="2" t="s">
        <v>588</v>
      </c>
      <c r="V3" s="7" t="str">
        <f>IF(OR(W3="",X3="",Y3="",Z3=""),"",_xlfn.CONCAT(W3,".",X3,".",Y3,".",Z3))</f>
        <v>mov.pasc.011.pasre</v>
      </c>
      <c r="W3" t="s">
        <v>865</v>
      </c>
      <c r="X3" t="s">
        <v>866</v>
      </c>
      <c r="Y3" s="10" t="str">
        <f>AC3</f>
        <v>011</v>
      </c>
      <c r="Z3" t="s">
        <v>872</v>
      </c>
      <c r="AB3" t="s">
        <v>543</v>
      </c>
      <c r="AC3" s="3" t="s">
        <v>489</v>
      </c>
      <c r="AD3" s="4" t="s">
        <v>7</v>
      </c>
      <c r="AE3" t="s">
        <v>843</v>
      </c>
      <c r="AF3" t="s">
        <v>815</v>
      </c>
      <c r="AG3" t="s">
        <v>490</v>
      </c>
    </row>
    <row r="4" spans="1:34" ht="14.4" customHeight="1" x14ac:dyDescent="0.3">
      <c r="A4" s="7" t="str">
        <f t="shared" si="0"/>
        <v>fix.0102.101.basma</v>
      </c>
      <c r="B4" s="7" t="str">
        <f t="shared" ref="B4:B67" si="3">IF(O4="","",TEXT(O4,"0##"))</f>
        <v>101</v>
      </c>
      <c r="C4" s="8" t="str">
        <f t="shared" ref="C4:D67" si="4">IF(Q4="","",TEXT(Q4,""))</f>
        <v>Ss. Basilii Magni et Gregorii Nazianzeni, episcoporum et Ecclesiæ doctorum</v>
      </c>
      <c r="D4" s="8" t="str">
        <f t="shared" si="1"/>
        <v>Sts. Basil the Great and Gregory Nazianzen, Bishops and Doctors of the Church</v>
      </c>
      <c r="E4" s="8" t="str">
        <f t="shared" si="2"/>
        <v>성 대 바실리오와 나지안조의 성 그레고리오 주교 학자 기념일</v>
      </c>
      <c r="F4" s="7" t="s">
        <v>578</v>
      </c>
      <c r="G4" s="7" t="str">
        <f t="shared" ref="G4:G67" si="5">TEXT(N4, "mmdd")</f>
        <v>0102</v>
      </c>
      <c r="H4" s="7" t="str">
        <f t="shared" ref="H4:H67" si="6">IF(ISBLANK(O4), "", TEXT(O4, "0##"))</f>
        <v>101</v>
      </c>
      <c r="I4" s="7" t="str">
        <f t="shared" ref="I4:I67" si="7">IF(J4="","",IF(K4="",LEFT(J4,5),IF(K4&lt;4,_xlfn.CONCAT(LEFT(J4,K4-1),LEFT(L4,5-K4+1)),_xlfn.CONCAT(LEFT(J4,3),LEFT(L4,2)))))</f>
        <v>basma</v>
      </c>
      <c r="J4" s="6" t="str">
        <f>IFERROR(_xlfn.CONCAT(_xlfn.TEXTSPLIT(SUBSTITUTE(SUBSTITUTE(LOWER(Q4),"æ","ae"), " de ", " "),{"b. ","ss. ","s. ","ss.mi ","in ",".",","," et","sanctae ","ę","ũ"})), "")</f>
        <v>basilii magni gregorii nazianzeni episcoporum ecclesiae doctorum</v>
      </c>
      <c r="K4" s="6">
        <f t="shared" ref="K4:K67" si="8">IFERROR(FIND(" ", J4), "")</f>
        <v>8</v>
      </c>
      <c r="L4" s="6" t="str">
        <f t="shared" ref="L4:L67" si="9">SUBSTITUTE(IFERROR(RIGHT(J4, LEN(J4)-K4), ""), " ", "")</f>
        <v>magnigregoriinazianzeniepiscoporumecclesiaedoctorum</v>
      </c>
      <c r="M4" s="6"/>
      <c r="N4" s="1">
        <v>45659</v>
      </c>
      <c r="O4" s="3">
        <v>101</v>
      </c>
      <c r="P4" s="4" t="s">
        <v>8</v>
      </c>
      <c r="Q4" s="2" t="s">
        <v>25</v>
      </c>
      <c r="R4" s="9" t="s">
        <v>590</v>
      </c>
      <c r="S4" s="2" t="s">
        <v>94</v>
      </c>
      <c r="V4" s="7" t="str">
        <f t="shared" ref="V4:V31" si="10">IF(OR(W4="",X4="",Y4="",Z4=""),"",_xlfn.CONCAT(W4,".",X4,".",Y4,".",Z4))</f>
        <v>mov.quad.011.cendo</v>
      </c>
      <c r="W4" t="s">
        <v>865</v>
      </c>
      <c r="X4" t="s">
        <v>867</v>
      </c>
      <c r="Y4" s="10" t="str">
        <f t="shared" ref="Y4:Y31" si="11">AC4</f>
        <v>011</v>
      </c>
      <c r="Z4" t="s">
        <v>871</v>
      </c>
      <c r="AB4" t="s">
        <v>557</v>
      </c>
      <c r="AC4" s="3" t="s">
        <v>489</v>
      </c>
      <c r="AD4" s="4"/>
      <c r="AE4" t="s">
        <v>840</v>
      </c>
      <c r="AF4" t="s">
        <v>816</v>
      </c>
      <c r="AG4" t="s">
        <v>491</v>
      </c>
    </row>
    <row r="5" spans="1:34" ht="14.4" customHeight="1" x14ac:dyDescent="0.3">
      <c r="A5" s="7" t="str">
        <f>IF(OR(F5="",G5="",H5="",I5=""),"",_xlfn.CONCAT(F5,".",G5,".",H5,".",I5))</f>
        <v>fix.0103.121.nomie</v>
      </c>
      <c r="B5" s="7" t="str">
        <f t="shared" si="3"/>
        <v>121</v>
      </c>
      <c r="C5" s="8" t="str">
        <f t="shared" si="4"/>
        <v>Ss.mi Nominis Iesu</v>
      </c>
      <c r="D5" s="8" t="str">
        <f t="shared" si="1"/>
        <v>The Most Holy Name of Jesus</v>
      </c>
      <c r="E5" s="8" t="str">
        <f t="shared" si="2"/>
        <v>지극히 거룩하신 예수 성명</v>
      </c>
      <c r="F5" s="7" t="s">
        <v>578</v>
      </c>
      <c r="G5" s="7" t="str">
        <f t="shared" si="5"/>
        <v>0103</v>
      </c>
      <c r="H5" s="7" t="str">
        <f t="shared" si="6"/>
        <v>121</v>
      </c>
      <c r="I5" s="7" t="str">
        <f t="shared" si="7"/>
        <v>nomie</v>
      </c>
      <c r="J5" s="6" t="str">
        <f>IFERROR(_xlfn.CONCAT(_xlfn.TEXTSPLIT(SUBSTITUTE(SUBSTITUTE(LOWER(Q5),"æ","ae"), " de ", " "),{"b. ","ss. ","s. ","ss.mi ","in ",".",","," et","sanctae ","ę","ũ"})), "")</f>
        <v>nominis iesu</v>
      </c>
      <c r="K5" s="6">
        <f t="shared" si="8"/>
        <v>8</v>
      </c>
      <c r="L5" s="6" t="str">
        <f t="shared" si="9"/>
        <v>iesu</v>
      </c>
      <c r="M5" s="6"/>
      <c r="N5" s="1">
        <v>45660</v>
      </c>
      <c r="O5" s="3" t="s">
        <v>471</v>
      </c>
      <c r="P5" s="4" t="s">
        <v>9</v>
      </c>
      <c r="Q5" s="2" t="s">
        <v>6</v>
      </c>
      <c r="R5" s="9" t="s">
        <v>591</v>
      </c>
      <c r="S5" s="2" t="s">
        <v>95</v>
      </c>
      <c r="V5" s="7" t="str">
        <f t="shared" si="10"/>
        <v>mov.quad.011.pasdo</v>
      </c>
      <c r="W5" t="s">
        <v>865</v>
      </c>
      <c r="X5" t="s">
        <v>867</v>
      </c>
      <c r="Y5" s="10" t="str">
        <f t="shared" si="11"/>
        <v>011</v>
      </c>
      <c r="Z5" t="s">
        <v>873</v>
      </c>
      <c r="AB5" t="s">
        <v>544</v>
      </c>
      <c r="AC5" s="3" t="s">
        <v>489</v>
      </c>
      <c r="AD5" s="4"/>
      <c r="AE5" t="s">
        <v>841</v>
      </c>
      <c r="AF5" t="s">
        <v>817</v>
      </c>
      <c r="AG5" t="s">
        <v>492</v>
      </c>
    </row>
    <row r="6" spans="1:34" ht="14.4" customHeight="1" x14ac:dyDescent="0.3">
      <c r="A6" s="7" t="str">
        <f t="shared" si="0"/>
        <v/>
      </c>
      <c r="B6" s="7" t="str">
        <f t="shared" si="3"/>
        <v/>
      </c>
      <c r="C6" s="8" t="str">
        <f t="shared" si="4"/>
        <v/>
      </c>
      <c r="D6" s="8" t="str">
        <f t="shared" si="1"/>
        <v/>
      </c>
      <c r="E6" s="8" t="str">
        <f t="shared" si="2"/>
        <v/>
      </c>
      <c r="F6" s="7" t="s">
        <v>578</v>
      </c>
      <c r="G6" s="7" t="str">
        <f t="shared" si="5"/>
        <v>0104</v>
      </c>
      <c r="H6" s="7" t="str">
        <f t="shared" si="6"/>
        <v/>
      </c>
      <c r="I6" s="7" t="str">
        <f t="shared" si="7"/>
        <v/>
      </c>
      <c r="J6" s="6" t="str">
        <f>IFERROR(_xlfn.CONCAT(_xlfn.TEXTSPLIT(SUBSTITUTE(SUBSTITUTE(LOWER(Q6),"æ","ae"), " de ", " "),{"b. ","ss. ","s. ","ss.mi ","in ",".",","," et","sanctae ","ę","ũ"})), "")</f>
        <v/>
      </c>
      <c r="K6" s="6" t="str">
        <f t="shared" si="8"/>
        <v/>
      </c>
      <c r="L6" s="6" t="str">
        <f t="shared" si="9"/>
        <v/>
      </c>
      <c r="M6" s="6"/>
      <c r="N6" s="1">
        <v>45661</v>
      </c>
      <c r="V6" s="7" t="str">
        <f t="shared" si="10"/>
        <v>mov.quad.011.sabsa</v>
      </c>
      <c r="W6" t="s">
        <v>865</v>
      </c>
      <c r="X6" t="s">
        <v>867</v>
      </c>
      <c r="Y6" s="10" t="str">
        <f t="shared" si="11"/>
        <v>011</v>
      </c>
      <c r="Z6" t="s">
        <v>874</v>
      </c>
      <c r="AB6" t="s">
        <v>545</v>
      </c>
      <c r="AC6" s="3" t="s">
        <v>489</v>
      </c>
      <c r="AD6" s="4"/>
      <c r="AE6" t="s">
        <v>842</v>
      </c>
      <c r="AF6" t="s">
        <v>818</v>
      </c>
      <c r="AG6" t="s">
        <v>493</v>
      </c>
    </row>
    <row r="7" spans="1:34" ht="14.4" customHeight="1" x14ac:dyDescent="0.3">
      <c r="A7" s="7" t="str">
        <f t="shared" si="0"/>
        <v/>
      </c>
      <c r="B7" s="7" t="str">
        <f t="shared" si="3"/>
        <v/>
      </c>
      <c r="C7" s="8" t="str">
        <f t="shared" si="4"/>
        <v/>
      </c>
      <c r="D7" s="8" t="str">
        <f t="shared" si="1"/>
        <v/>
      </c>
      <c r="E7" s="8" t="str">
        <f t="shared" si="2"/>
        <v/>
      </c>
      <c r="F7" s="7" t="s">
        <v>578</v>
      </c>
      <c r="G7" s="7" t="str">
        <f t="shared" si="5"/>
        <v>0105</v>
      </c>
      <c r="H7" s="7" t="str">
        <f t="shared" si="6"/>
        <v/>
      </c>
      <c r="I7" s="7" t="str">
        <f t="shared" si="7"/>
        <v/>
      </c>
      <c r="J7" s="6" t="str">
        <f>IFERROR(_xlfn.CONCAT(_xlfn.TEXTSPLIT(SUBSTITUTE(SUBSTITUTE(LOWER(Q7),"æ","ae"), " de ", " "),{"b. ","ss. ","s. ","ss.mi ","in ",".",","," et","sanctae ","ę","ũ"})), "")</f>
        <v/>
      </c>
      <c r="K7" s="6" t="str">
        <f t="shared" si="8"/>
        <v/>
      </c>
      <c r="L7" s="6" t="str">
        <f t="shared" si="9"/>
        <v/>
      </c>
      <c r="M7" s="6"/>
      <c r="N7" s="1">
        <v>45662</v>
      </c>
      <c r="V7" s="7" t="str">
        <f t="shared" si="10"/>
        <v>mov.nati.021.epiph</v>
      </c>
      <c r="W7" t="s">
        <v>865</v>
      </c>
      <c r="X7" t="s">
        <v>868</v>
      </c>
      <c r="Y7" s="10" t="str">
        <f t="shared" si="11"/>
        <v>021</v>
      </c>
      <c r="Z7" t="s">
        <v>875</v>
      </c>
      <c r="AB7" t="s">
        <v>547</v>
      </c>
      <c r="AC7" s="3" t="s">
        <v>460</v>
      </c>
      <c r="AD7" s="4" t="s">
        <v>7</v>
      </c>
      <c r="AE7" t="s">
        <v>10</v>
      </c>
      <c r="AF7" t="s">
        <v>592</v>
      </c>
      <c r="AG7" t="s">
        <v>96</v>
      </c>
    </row>
    <row r="8" spans="1:34" ht="14.4" customHeight="1" x14ac:dyDescent="0.3">
      <c r="A8" s="7" t="str">
        <f t="shared" si="0"/>
        <v>fix.0106.021.epido</v>
      </c>
      <c r="B8" s="7" t="str">
        <f t="shared" si="3"/>
        <v>021</v>
      </c>
      <c r="C8" s="8" t="str">
        <f t="shared" si="4"/>
        <v>IN EPIPHANIA DOMINI</v>
      </c>
      <c r="D8" s="8" t="str">
        <f t="shared" si="1"/>
        <v>The Epiphany of the Lord</v>
      </c>
      <c r="E8" s="8" t="str">
        <f t="shared" si="2"/>
        <v>주님 공현</v>
      </c>
      <c r="F8" s="7" t="s">
        <v>578</v>
      </c>
      <c r="G8" s="7" t="str">
        <f t="shared" si="5"/>
        <v>0106</v>
      </c>
      <c r="H8" s="7" t="str">
        <f t="shared" si="6"/>
        <v>021</v>
      </c>
      <c r="I8" s="7" t="str">
        <f t="shared" si="7"/>
        <v>epido</v>
      </c>
      <c r="J8" s="6" t="str">
        <f>IFERROR(_xlfn.CONCAT(_xlfn.TEXTSPLIT(SUBSTITUTE(SUBSTITUTE(LOWER(Q8),"æ","ae"), " de ", " "),{"b. ","ss. ","s. ","ss.mi ","in ",".",","," et","sanctae ","ę","ũ"})), "")</f>
        <v>epiphania domini</v>
      </c>
      <c r="K8" s="6">
        <f t="shared" si="8"/>
        <v>10</v>
      </c>
      <c r="L8" s="6" t="str">
        <f t="shared" si="9"/>
        <v>domini</v>
      </c>
      <c r="M8" s="6"/>
      <c r="N8" s="1">
        <v>45663</v>
      </c>
      <c r="O8" s="3" t="s">
        <v>460</v>
      </c>
      <c r="P8" s="4" t="s">
        <v>7</v>
      </c>
      <c r="Q8" s="2" t="s">
        <v>10</v>
      </c>
      <c r="R8" s="9" t="s">
        <v>592</v>
      </c>
      <c r="S8" s="2" t="s">
        <v>96</v>
      </c>
      <c r="V8" s="7" t="str">
        <f t="shared" si="10"/>
        <v>mov.pasc.021.ascen</v>
      </c>
      <c r="W8" t="s">
        <v>865</v>
      </c>
      <c r="X8" t="s">
        <v>866</v>
      </c>
      <c r="Y8" s="10" t="str">
        <f t="shared" si="11"/>
        <v>021</v>
      </c>
      <c r="Z8" t="s">
        <v>876</v>
      </c>
      <c r="AB8" t="s">
        <v>546</v>
      </c>
      <c r="AC8" s="3" t="s">
        <v>460</v>
      </c>
      <c r="AD8" s="4" t="s">
        <v>7</v>
      </c>
      <c r="AE8" t="s">
        <v>845</v>
      </c>
      <c r="AF8" t="s">
        <v>819</v>
      </c>
      <c r="AG8" t="s">
        <v>494</v>
      </c>
    </row>
    <row r="9" spans="1:34" ht="14.4" customHeight="1" x14ac:dyDescent="0.3">
      <c r="A9" s="7" t="str">
        <f t="shared" si="0"/>
        <v>fix.0107.121.raipe</v>
      </c>
      <c r="B9" s="7" t="str">
        <f t="shared" si="3"/>
        <v>121</v>
      </c>
      <c r="C9" s="8" t="str">
        <f t="shared" si="4"/>
        <v>S. Raimundi de Penyafort, presbyteri</v>
      </c>
      <c r="D9" s="8" t="str">
        <f t="shared" si="1"/>
        <v>St. Raymond of Penyafort, Priest</v>
      </c>
      <c r="E9" s="8" t="str">
        <f t="shared" si="2"/>
        <v>페냐포르트의 성 라이문도 사제</v>
      </c>
      <c r="F9" s="7" t="s">
        <v>578</v>
      </c>
      <c r="G9" s="7" t="str">
        <f t="shared" si="5"/>
        <v>0107</v>
      </c>
      <c r="H9" s="7" t="str">
        <f t="shared" si="6"/>
        <v>121</v>
      </c>
      <c r="I9" s="7" t="str">
        <f t="shared" si="7"/>
        <v>raipe</v>
      </c>
      <c r="J9" s="6" t="str">
        <f>IFERROR(_xlfn.CONCAT(_xlfn.TEXTSPLIT(SUBSTITUTE(SUBSTITUTE(LOWER(Q9),"æ","ae"), " de ", " "),{"b. ","ss. ","s. ","ss.mi ","in ",".",","," et","sanctae ","ę","ũ"})), "")</f>
        <v>raimundi penyafort presbyteri</v>
      </c>
      <c r="K9" s="6">
        <f t="shared" si="8"/>
        <v>9</v>
      </c>
      <c r="L9" s="6" t="str">
        <f t="shared" si="9"/>
        <v>penyafortpresbyteri</v>
      </c>
      <c r="M9" s="6"/>
      <c r="N9" s="1">
        <v>45664</v>
      </c>
      <c r="O9" s="3" t="s">
        <v>471</v>
      </c>
      <c r="P9" s="4" t="s">
        <v>9</v>
      </c>
      <c r="Q9" s="2" t="s">
        <v>11</v>
      </c>
      <c r="R9" s="9" t="s">
        <v>593</v>
      </c>
      <c r="S9" s="2" t="s">
        <v>97</v>
      </c>
      <c r="V9" s="7" t="str">
        <f t="shared" si="10"/>
        <v>mov.pasc.021.pente</v>
      </c>
      <c r="W9" t="s">
        <v>865</v>
      </c>
      <c r="X9" t="s">
        <v>866</v>
      </c>
      <c r="Y9" s="10" t="str">
        <f t="shared" si="11"/>
        <v>021</v>
      </c>
      <c r="Z9" t="s">
        <v>877</v>
      </c>
      <c r="AB9" t="s">
        <v>548</v>
      </c>
      <c r="AC9" s="3" t="s">
        <v>460</v>
      </c>
      <c r="AD9" s="4" t="s">
        <v>7</v>
      </c>
      <c r="AE9" t="s">
        <v>844</v>
      </c>
      <c r="AF9" t="s">
        <v>820</v>
      </c>
      <c r="AG9" t="s">
        <v>495</v>
      </c>
    </row>
    <row r="10" spans="1:34" ht="14.4" customHeight="1" x14ac:dyDescent="0.3">
      <c r="A10" s="7" t="str">
        <f t="shared" si="0"/>
        <v/>
      </c>
      <c r="B10" s="7" t="str">
        <f t="shared" si="3"/>
        <v/>
      </c>
      <c r="C10" s="8" t="str">
        <f t="shared" si="4"/>
        <v/>
      </c>
      <c r="D10" s="8" t="str">
        <f t="shared" si="1"/>
        <v/>
      </c>
      <c r="E10" s="8" t="str">
        <f t="shared" si="2"/>
        <v/>
      </c>
      <c r="F10" s="7" t="s">
        <v>578</v>
      </c>
      <c r="G10" s="7" t="str">
        <f t="shared" si="5"/>
        <v>0108</v>
      </c>
      <c r="H10" s="7" t="str">
        <f t="shared" si="6"/>
        <v/>
      </c>
      <c r="I10" s="7" t="str">
        <f t="shared" si="7"/>
        <v/>
      </c>
      <c r="J10" s="6" t="str">
        <f>IFERROR(_xlfn.CONCAT(_xlfn.TEXTSPLIT(SUBSTITUTE(SUBSTITUTE(LOWER(Q10),"æ","ae"), " de ", " "),{"b. ","ss. ","s. ","ss.mi ","in ",".",","," et","sanctae ","ę","ũ"})), "")</f>
        <v/>
      </c>
      <c r="K10" s="6" t="str">
        <f t="shared" si="8"/>
        <v/>
      </c>
      <c r="L10" s="6" t="str">
        <f t="shared" si="9"/>
        <v/>
      </c>
      <c r="M10" s="6"/>
      <c r="N10" s="1">
        <v>45665</v>
      </c>
      <c r="V10" s="7" t="str">
        <f t="shared" si="10"/>
        <v/>
      </c>
      <c r="W10" t="s">
        <v>865</v>
      </c>
      <c r="X10" t="s">
        <v>869</v>
      </c>
      <c r="Y10" s="10" t="str">
        <f t="shared" si="11"/>
        <v>022</v>
      </c>
      <c r="AB10" t="s">
        <v>549</v>
      </c>
      <c r="AC10" s="3" t="s">
        <v>504</v>
      </c>
      <c r="AD10" s="4"/>
      <c r="AE10" t="s">
        <v>853</v>
      </c>
      <c r="AF10" t="s">
        <v>833</v>
      </c>
      <c r="AG10" t="s">
        <v>496</v>
      </c>
    </row>
    <row r="11" spans="1:34" ht="14.4" customHeight="1" x14ac:dyDescent="0.3">
      <c r="A11" s="7" t="str">
        <f t="shared" si="0"/>
        <v/>
      </c>
      <c r="B11" s="7" t="str">
        <f t="shared" si="3"/>
        <v/>
      </c>
      <c r="C11" s="8" t="str">
        <f t="shared" si="4"/>
        <v/>
      </c>
      <c r="D11" s="8" t="str">
        <f t="shared" si="1"/>
        <v/>
      </c>
      <c r="E11" s="8" t="str">
        <f t="shared" si="2"/>
        <v/>
      </c>
      <c r="F11" s="7" t="s">
        <v>578</v>
      </c>
      <c r="G11" s="7" t="str">
        <f t="shared" si="5"/>
        <v>0109</v>
      </c>
      <c r="H11" s="7" t="str">
        <f t="shared" si="6"/>
        <v/>
      </c>
      <c r="I11" s="7" t="str">
        <f t="shared" si="7"/>
        <v/>
      </c>
      <c r="J11" s="6" t="str">
        <f>IFERROR(_xlfn.CONCAT(_xlfn.TEXTSPLIT(SUBSTITUTE(SUBSTITUTE(LOWER(Q11),"æ","ae"), " de ", " "),{"b. ","ss. ","s. ","ss.mi ","in ",".",","," et","sanctae ","ę","ũ"})), "")</f>
        <v/>
      </c>
      <c r="K11" s="6" t="str">
        <f t="shared" si="8"/>
        <v/>
      </c>
      <c r="L11" s="6" t="str">
        <f t="shared" si="9"/>
        <v/>
      </c>
      <c r="M11" s="6"/>
      <c r="N11" s="1">
        <v>45666</v>
      </c>
      <c r="V11" s="7" t="str">
        <f t="shared" si="10"/>
        <v/>
      </c>
      <c r="W11" t="s">
        <v>865</v>
      </c>
      <c r="X11" t="s">
        <v>867</v>
      </c>
      <c r="Y11" s="10" t="str">
        <f t="shared" si="11"/>
        <v>022</v>
      </c>
      <c r="AB11" t="s">
        <v>550</v>
      </c>
      <c r="AC11" s="3" t="s">
        <v>504</v>
      </c>
      <c r="AD11" s="4"/>
      <c r="AE11" t="s">
        <v>854</v>
      </c>
      <c r="AF11" t="s">
        <v>834</v>
      </c>
      <c r="AG11" t="s">
        <v>497</v>
      </c>
    </row>
    <row r="12" spans="1:34" ht="14.4" customHeight="1" x14ac:dyDescent="0.3">
      <c r="A12" s="7" t="str">
        <f t="shared" si="0"/>
        <v/>
      </c>
      <c r="B12" s="7" t="str">
        <f t="shared" si="3"/>
        <v/>
      </c>
      <c r="C12" s="8" t="str">
        <f t="shared" si="4"/>
        <v/>
      </c>
      <c r="D12" s="8" t="str">
        <f t="shared" si="1"/>
        <v/>
      </c>
      <c r="E12" s="8" t="str">
        <f t="shared" si="2"/>
        <v/>
      </c>
      <c r="F12" s="7" t="s">
        <v>578</v>
      </c>
      <c r="G12" s="7" t="str">
        <f t="shared" si="5"/>
        <v>0110</v>
      </c>
      <c r="H12" s="7" t="str">
        <f t="shared" si="6"/>
        <v/>
      </c>
      <c r="I12" s="7" t="str">
        <f t="shared" si="7"/>
        <v/>
      </c>
      <c r="J12" s="6" t="str">
        <f>IFERROR(_xlfn.CONCAT(_xlfn.TEXTSPLIT(SUBSTITUTE(SUBSTITUTE(LOWER(Q12),"æ","ae"), " de ", " "),{"b. ","ss. ","s. ","ss.mi ","in ",".",","," et","sanctae ","ę","ũ"})), "")</f>
        <v/>
      </c>
      <c r="K12" s="6" t="str">
        <f t="shared" si="8"/>
        <v/>
      </c>
      <c r="L12" s="6" t="str">
        <f t="shared" si="9"/>
        <v/>
      </c>
      <c r="M12" s="6"/>
      <c r="N12" s="1">
        <v>45667</v>
      </c>
      <c r="V12" s="7" t="str">
        <f t="shared" si="10"/>
        <v/>
      </c>
      <c r="W12" t="s">
        <v>865</v>
      </c>
      <c r="X12" t="s">
        <v>866</v>
      </c>
      <c r="Y12" s="10" t="str">
        <f t="shared" si="11"/>
        <v>022</v>
      </c>
      <c r="AB12" t="s">
        <v>551</v>
      </c>
      <c r="AC12" s="3" t="s">
        <v>504</v>
      </c>
      <c r="AD12" s="4"/>
      <c r="AE12" t="s">
        <v>855</v>
      </c>
      <c r="AF12" t="s">
        <v>835</v>
      </c>
      <c r="AG12" t="s">
        <v>498</v>
      </c>
    </row>
    <row r="13" spans="1:34" ht="14.4" customHeight="1" x14ac:dyDescent="0.3">
      <c r="A13" s="7" t="str">
        <f t="shared" si="0"/>
        <v/>
      </c>
      <c r="B13" s="7" t="str">
        <f t="shared" si="3"/>
        <v/>
      </c>
      <c r="C13" s="8" t="str">
        <f t="shared" si="4"/>
        <v/>
      </c>
      <c r="D13" s="8" t="str">
        <f t="shared" si="1"/>
        <v/>
      </c>
      <c r="E13" s="8" t="str">
        <f t="shared" si="2"/>
        <v/>
      </c>
      <c r="F13" s="7" t="s">
        <v>578</v>
      </c>
      <c r="G13" s="7" t="str">
        <f t="shared" si="5"/>
        <v>0111</v>
      </c>
      <c r="H13" s="7" t="str">
        <f t="shared" si="6"/>
        <v/>
      </c>
      <c r="I13" s="7" t="str">
        <f t="shared" si="7"/>
        <v/>
      </c>
      <c r="J13" s="6" t="str">
        <f>IFERROR(_xlfn.CONCAT(_xlfn.TEXTSPLIT(SUBSTITUTE(SUBSTITUTE(LOWER(Q13),"æ","ae"), " de ", " "),{"b. ","ss. ","s. ","ss.mi ","in ",".",","," et","sanctae ","ę","ũ"})), "")</f>
        <v/>
      </c>
      <c r="K13" s="6" t="str">
        <f t="shared" si="8"/>
        <v/>
      </c>
      <c r="L13" s="6" t="str">
        <f t="shared" si="9"/>
        <v/>
      </c>
      <c r="M13" s="6"/>
      <c r="N13" s="1">
        <v>45668</v>
      </c>
      <c r="V13" s="7" t="str">
        <f t="shared" si="10"/>
        <v>mov.quad.023.ciner</v>
      </c>
      <c r="W13" t="s">
        <v>865</v>
      </c>
      <c r="X13" t="s">
        <v>867</v>
      </c>
      <c r="Y13" s="10" t="str">
        <f t="shared" si="11"/>
        <v>023</v>
      </c>
      <c r="Z13" t="s">
        <v>878</v>
      </c>
      <c r="AB13" t="s">
        <v>552</v>
      </c>
      <c r="AC13" s="3" t="s">
        <v>505</v>
      </c>
      <c r="AD13" s="4"/>
      <c r="AE13" t="s">
        <v>852</v>
      </c>
      <c r="AF13" t="s">
        <v>814</v>
      </c>
      <c r="AG13" t="s">
        <v>499</v>
      </c>
    </row>
    <row r="14" spans="1:34" ht="14.4" customHeight="1" x14ac:dyDescent="0.3">
      <c r="A14" s="7" t="str">
        <f t="shared" si="0"/>
        <v/>
      </c>
      <c r="B14" s="7" t="str">
        <f t="shared" si="3"/>
        <v/>
      </c>
      <c r="C14" s="8" t="str">
        <f t="shared" si="4"/>
        <v/>
      </c>
      <c r="D14" s="8" t="str">
        <f t="shared" si="1"/>
        <v/>
      </c>
      <c r="E14" s="8" t="str">
        <f t="shared" si="2"/>
        <v/>
      </c>
      <c r="F14" s="7" t="s">
        <v>578</v>
      </c>
      <c r="G14" s="7" t="str">
        <f t="shared" si="5"/>
        <v>0112</v>
      </c>
      <c r="H14" s="7" t="str">
        <f t="shared" si="6"/>
        <v/>
      </c>
      <c r="I14" s="7" t="str">
        <f t="shared" si="7"/>
        <v/>
      </c>
      <c r="J14" s="6" t="str">
        <f>IFERROR(_xlfn.CONCAT(_xlfn.TEXTSPLIT(SUBSTITUTE(SUBSTITUTE(LOWER(Q14),"æ","ae"), " de ", " "),{"b. ","ss. ","s. ","ss.mi ","in ",".",","," et","sanctae ","ę","ũ"})), "")</f>
        <v/>
      </c>
      <c r="K14" s="6" t="str">
        <f t="shared" si="8"/>
        <v/>
      </c>
      <c r="L14" s="6" t="str">
        <f t="shared" si="9"/>
        <v/>
      </c>
      <c r="M14" s="6"/>
      <c r="N14" s="1">
        <v>45669</v>
      </c>
      <c r="V14" s="7" t="str">
        <f t="shared" si="10"/>
        <v>mov.quad.024.fiihe</v>
      </c>
      <c r="W14" t="s">
        <v>865</v>
      </c>
      <c r="X14" t="s">
        <v>867</v>
      </c>
      <c r="Y14" s="10" t="str">
        <f t="shared" si="11"/>
        <v>024</v>
      </c>
      <c r="Z14" t="s">
        <v>879</v>
      </c>
      <c r="AB14" t="s">
        <v>553</v>
      </c>
      <c r="AC14" s="3" t="s">
        <v>506</v>
      </c>
      <c r="AD14" s="4"/>
      <c r="AE14" t="s">
        <v>836</v>
      </c>
      <c r="AF14" t="s">
        <v>821</v>
      </c>
      <c r="AG14" t="s">
        <v>500</v>
      </c>
    </row>
    <row r="15" spans="1:34" ht="14.4" customHeight="1" x14ac:dyDescent="0.3">
      <c r="A15" s="7" t="str">
        <f t="shared" si="0"/>
        <v>fix.0113.121.hilep</v>
      </c>
      <c r="B15" s="7" t="str">
        <f t="shared" si="3"/>
        <v>121</v>
      </c>
      <c r="C15" s="8" t="str">
        <f t="shared" si="4"/>
        <v>S. Hilarii, episcopi et Ecclesiæ doctoris</v>
      </c>
      <c r="D15" s="8" t="str">
        <f t="shared" si="1"/>
        <v>St. Hilary, Bishop and Doctor of the Church</v>
      </c>
      <c r="E15" s="8" t="str">
        <f t="shared" si="2"/>
        <v>성 힐라리오 주교 학자</v>
      </c>
      <c r="F15" s="7" t="s">
        <v>578</v>
      </c>
      <c r="G15" s="7" t="str">
        <f t="shared" si="5"/>
        <v>0113</v>
      </c>
      <c r="H15" s="7" t="str">
        <f t="shared" si="6"/>
        <v>121</v>
      </c>
      <c r="I15" s="7" t="str">
        <f t="shared" si="7"/>
        <v>hilep</v>
      </c>
      <c r="J15" s="6" t="str">
        <f>IFERROR(_xlfn.CONCAT(_xlfn.TEXTSPLIT(SUBSTITUTE(SUBSTITUTE(LOWER(Q15),"æ","ae"), " de ", " "),{"b. ","ss. ","s. ","ss.mi ","in ",".",","," et","sanctae ","ę","ũ"})), "")</f>
        <v>hilarii episcopi ecclesiae doctoris</v>
      </c>
      <c r="K15" s="6">
        <f t="shared" si="8"/>
        <v>8</v>
      </c>
      <c r="L15" s="6" t="str">
        <f t="shared" si="9"/>
        <v>episcopiecclesiaedoctoris</v>
      </c>
      <c r="M15" s="6"/>
      <c r="N15" s="1">
        <v>45670</v>
      </c>
      <c r="O15" s="3" t="s">
        <v>471</v>
      </c>
      <c r="P15" s="4" t="s">
        <v>9</v>
      </c>
      <c r="Q15" s="2" t="s">
        <v>12</v>
      </c>
      <c r="R15" s="9" t="s">
        <v>594</v>
      </c>
      <c r="S15" s="2" t="s">
        <v>98</v>
      </c>
      <c r="V15" s="7" t="str">
        <f t="shared" si="10"/>
        <v>mov.quad.024.fiiih</v>
      </c>
      <c r="W15" t="s">
        <v>865</v>
      </c>
      <c r="X15" t="s">
        <v>867</v>
      </c>
      <c r="Y15" s="10" t="str">
        <f t="shared" si="11"/>
        <v>024</v>
      </c>
      <c r="Z15" t="s">
        <v>880</v>
      </c>
      <c r="AB15" t="s">
        <v>554</v>
      </c>
      <c r="AC15" s="3" t="s">
        <v>506</v>
      </c>
      <c r="AD15" s="4"/>
      <c r="AE15" t="s">
        <v>837</v>
      </c>
      <c r="AF15" t="s">
        <v>822</v>
      </c>
      <c r="AG15" t="s">
        <v>501</v>
      </c>
    </row>
    <row r="16" spans="1:34" ht="14.4" customHeight="1" x14ac:dyDescent="0.3">
      <c r="A16" s="7" t="str">
        <f t="shared" si="0"/>
        <v/>
      </c>
      <c r="B16" s="7" t="str">
        <f t="shared" si="3"/>
        <v/>
      </c>
      <c r="C16" s="8" t="str">
        <f t="shared" si="4"/>
        <v/>
      </c>
      <c r="D16" s="8" t="str">
        <f t="shared" si="1"/>
        <v/>
      </c>
      <c r="E16" s="8" t="str">
        <f t="shared" si="2"/>
        <v/>
      </c>
      <c r="F16" s="7" t="s">
        <v>578</v>
      </c>
      <c r="G16" s="7" t="str">
        <f t="shared" si="5"/>
        <v>0114</v>
      </c>
      <c r="H16" s="7" t="str">
        <f t="shared" si="6"/>
        <v/>
      </c>
      <c r="I16" s="7" t="str">
        <f t="shared" si="7"/>
        <v/>
      </c>
      <c r="J16" s="6" t="str">
        <f>IFERROR(_xlfn.CONCAT(_xlfn.TEXTSPLIT(SUBSTITUTE(SUBSTITUTE(LOWER(Q16),"æ","ae"), " de ", " "),{"b. ","ss. ","s. ","ss.mi ","in ",".",","," et","sanctae ","ę","ũ"})), "")</f>
        <v/>
      </c>
      <c r="K16" s="6" t="str">
        <f t="shared" si="8"/>
        <v/>
      </c>
      <c r="L16" s="6" t="str">
        <f t="shared" si="9"/>
        <v/>
      </c>
      <c r="M16" s="6"/>
      <c r="N16" s="1">
        <v>45671</v>
      </c>
      <c r="V16" s="7" t="str">
        <f t="shared" si="10"/>
        <v>mov.quad.024.fivhe</v>
      </c>
      <c r="W16" t="s">
        <v>865</v>
      </c>
      <c r="X16" t="s">
        <v>867</v>
      </c>
      <c r="Y16" s="10" t="str">
        <f t="shared" si="11"/>
        <v>024</v>
      </c>
      <c r="Z16" t="s">
        <v>881</v>
      </c>
      <c r="AB16" t="s">
        <v>555</v>
      </c>
      <c r="AC16" s="3" t="s">
        <v>506</v>
      </c>
      <c r="AD16" s="4"/>
      <c r="AE16" t="s">
        <v>838</v>
      </c>
      <c r="AF16" t="s">
        <v>823</v>
      </c>
      <c r="AG16" t="s">
        <v>502</v>
      </c>
    </row>
    <row r="17" spans="1:33" ht="14.4" customHeight="1" x14ac:dyDescent="0.3">
      <c r="A17" s="7" t="str">
        <f t="shared" si="0"/>
        <v/>
      </c>
      <c r="B17" s="7" t="str">
        <f t="shared" si="3"/>
        <v/>
      </c>
      <c r="C17" s="8" t="str">
        <f t="shared" si="4"/>
        <v/>
      </c>
      <c r="D17" s="8" t="str">
        <f t="shared" si="1"/>
        <v/>
      </c>
      <c r="E17" s="8" t="str">
        <f t="shared" si="2"/>
        <v/>
      </c>
      <c r="F17" s="7" t="s">
        <v>578</v>
      </c>
      <c r="G17" s="7" t="str">
        <f t="shared" si="5"/>
        <v>0115</v>
      </c>
      <c r="H17" s="7" t="str">
        <f t="shared" si="6"/>
        <v/>
      </c>
      <c r="I17" s="7" t="str">
        <f t="shared" si="7"/>
        <v/>
      </c>
      <c r="J17" s="6" t="str">
        <f>IFERROR(_xlfn.CONCAT(_xlfn.TEXTSPLIT(SUBSTITUTE(SUBSTITUTE(LOWER(Q17),"æ","ae"), " de ", " "),{"b. ","ss. ","s. ","ss.mi ","in ",".",","," et","sanctae ","ę","ũ"})), "")</f>
        <v/>
      </c>
      <c r="K17" s="6" t="str">
        <f t="shared" si="8"/>
        <v/>
      </c>
      <c r="L17" s="6" t="str">
        <f t="shared" si="9"/>
        <v/>
      </c>
      <c r="M17" s="6"/>
      <c r="N17" s="1">
        <v>45672</v>
      </c>
      <c r="V17" s="7" t="str">
        <f t="shared" si="10"/>
        <v>mov.quad.020.fvheb</v>
      </c>
      <c r="W17" t="s">
        <v>865</v>
      </c>
      <c r="X17" t="s">
        <v>867</v>
      </c>
      <c r="Y17" s="10" t="str">
        <f t="shared" si="11"/>
        <v>020</v>
      </c>
      <c r="Z17" t="s">
        <v>882</v>
      </c>
      <c r="AB17" t="s">
        <v>556</v>
      </c>
      <c r="AC17" s="3" t="s">
        <v>507</v>
      </c>
      <c r="AD17" s="4"/>
      <c r="AE17" t="s">
        <v>839</v>
      </c>
      <c r="AF17" t="s">
        <v>824</v>
      </c>
      <c r="AG17" t="s">
        <v>503</v>
      </c>
    </row>
    <row r="18" spans="1:33" ht="14.4" customHeight="1" x14ac:dyDescent="0.3">
      <c r="A18" s="7" t="str">
        <f t="shared" si="0"/>
        <v/>
      </c>
      <c r="B18" s="7" t="str">
        <f t="shared" si="3"/>
        <v/>
      </c>
      <c r="C18" s="8" t="str">
        <f t="shared" si="4"/>
        <v/>
      </c>
      <c r="D18" s="8" t="str">
        <f t="shared" si="1"/>
        <v/>
      </c>
      <c r="E18" s="8" t="str">
        <f t="shared" si="2"/>
        <v/>
      </c>
      <c r="F18" s="7" t="s">
        <v>578</v>
      </c>
      <c r="G18" s="7" t="str">
        <f t="shared" si="5"/>
        <v>0116</v>
      </c>
      <c r="H18" s="7" t="str">
        <f t="shared" si="6"/>
        <v/>
      </c>
      <c r="I18" s="7" t="str">
        <f t="shared" si="7"/>
        <v/>
      </c>
      <c r="J18" s="6" t="str">
        <f>IFERROR(_xlfn.CONCAT(_xlfn.TEXTSPLIT(SUBSTITUTE(SUBSTITUTE(LOWER(Q18),"æ","ae"), " de ", " "),{"b. ","ss. ","s. ","ss.mi ","in ",".",","," et","sanctae ","ę","ũ"})), "")</f>
        <v/>
      </c>
      <c r="K18" s="6" t="str">
        <f t="shared" si="8"/>
        <v/>
      </c>
      <c r="L18" s="6" t="str">
        <f t="shared" si="9"/>
        <v/>
      </c>
      <c r="M18" s="6"/>
      <c r="N18" s="1">
        <v>45673</v>
      </c>
      <c r="V18" s="7" t="str">
        <f t="shared" si="10"/>
        <v>mov.annu.031.trini</v>
      </c>
      <c r="W18" t="s">
        <v>865</v>
      </c>
      <c r="X18" t="s">
        <v>870</v>
      </c>
      <c r="Y18" s="10" t="str">
        <f t="shared" si="11"/>
        <v>031</v>
      </c>
      <c r="Z18" t="s">
        <v>883</v>
      </c>
      <c r="AB18" t="s">
        <v>558</v>
      </c>
      <c r="AC18" s="3" t="s">
        <v>459</v>
      </c>
      <c r="AD18" s="4" t="s">
        <v>7</v>
      </c>
      <c r="AE18" t="s">
        <v>846</v>
      </c>
      <c r="AF18" t="s">
        <v>662</v>
      </c>
      <c r="AG18" t="s">
        <v>508</v>
      </c>
    </row>
    <row r="19" spans="1:33" ht="14.4" customHeight="1" x14ac:dyDescent="0.3">
      <c r="A19" s="7" t="str">
        <f t="shared" si="0"/>
        <v>fix.0117.101.antab</v>
      </c>
      <c r="B19" s="7" t="str">
        <f t="shared" si="3"/>
        <v>101</v>
      </c>
      <c r="C19" s="8" t="str">
        <f t="shared" si="4"/>
        <v>S. Antonii, abbatis</v>
      </c>
      <c r="D19" s="8" t="str">
        <f t="shared" si="1"/>
        <v>St. Anthony, Abbot</v>
      </c>
      <c r="E19" s="8" t="str">
        <f t="shared" si="2"/>
        <v>성 안토니오 아빠스 기념일</v>
      </c>
      <c r="F19" s="7" t="s">
        <v>578</v>
      </c>
      <c r="G19" s="7" t="str">
        <f t="shared" si="5"/>
        <v>0117</v>
      </c>
      <c r="H19" s="7" t="str">
        <f t="shared" si="6"/>
        <v>101</v>
      </c>
      <c r="I19" s="7" t="str">
        <f t="shared" si="7"/>
        <v>antab</v>
      </c>
      <c r="J19" s="6" t="str">
        <f>IFERROR(_xlfn.CONCAT(_xlfn.TEXTSPLIT(SUBSTITUTE(SUBSTITUTE(LOWER(Q19),"æ","ae"), " de ", " "),{"b. ","ss. ","s. ","ss.mi ","in ",".",","," et","sanctae ","ę","ũ"})), "")</f>
        <v>antonii abbatis</v>
      </c>
      <c r="K19" s="6">
        <f t="shared" si="8"/>
        <v>8</v>
      </c>
      <c r="L19" s="6" t="str">
        <f t="shared" si="9"/>
        <v>abbatis</v>
      </c>
      <c r="M19" s="6"/>
      <c r="N19" s="1">
        <v>45674</v>
      </c>
      <c r="O19" s="3">
        <v>101</v>
      </c>
      <c r="P19" s="4" t="s">
        <v>8</v>
      </c>
      <c r="Q19" s="2" t="s">
        <v>13</v>
      </c>
      <c r="R19" s="9" t="s">
        <v>595</v>
      </c>
      <c r="S19" s="2" t="s">
        <v>99</v>
      </c>
      <c r="V19" s="7" t="str">
        <f t="shared" si="10"/>
        <v>mov.annu.031.corsa</v>
      </c>
      <c r="W19" t="s">
        <v>865</v>
      </c>
      <c r="X19" t="s">
        <v>870</v>
      </c>
      <c r="Y19" s="10" t="str">
        <f t="shared" si="11"/>
        <v>031</v>
      </c>
      <c r="Z19" t="s">
        <v>884</v>
      </c>
      <c r="AB19" t="s">
        <v>559</v>
      </c>
      <c r="AC19" s="3" t="s">
        <v>459</v>
      </c>
      <c r="AD19" s="4" t="s">
        <v>7</v>
      </c>
      <c r="AE19" t="s">
        <v>847</v>
      </c>
      <c r="AF19" t="s">
        <v>825</v>
      </c>
      <c r="AG19" t="s">
        <v>509</v>
      </c>
    </row>
    <row r="20" spans="1:33" ht="14.4" customHeight="1" x14ac:dyDescent="0.3">
      <c r="A20" s="7" t="str">
        <f t="shared" si="0"/>
        <v/>
      </c>
      <c r="B20" s="7" t="str">
        <f t="shared" si="3"/>
        <v/>
      </c>
      <c r="C20" s="8" t="str">
        <f t="shared" si="4"/>
        <v/>
      </c>
      <c r="D20" s="8" t="str">
        <f t="shared" si="1"/>
        <v/>
      </c>
      <c r="E20" s="8" t="str">
        <f t="shared" si="2"/>
        <v/>
      </c>
      <c r="F20" s="7" t="s">
        <v>578</v>
      </c>
      <c r="G20" s="7" t="str">
        <f t="shared" si="5"/>
        <v>0118</v>
      </c>
      <c r="H20" s="7" t="str">
        <f t="shared" si="6"/>
        <v/>
      </c>
      <c r="I20" s="7" t="str">
        <f t="shared" si="7"/>
        <v/>
      </c>
      <c r="J20" s="6" t="str">
        <f>IFERROR(_xlfn.CONCAT(_xlfn.TEXTSPLIT(SUBSTITUTE(SUBSTITUTE(LOWER(Q20),"æ","ae"), " de ", " "),{"b. ","ss. ","s. ","ss.mi ","in ",".",","," et","sanctae ","ę","ũ"})), "")</f>
        <v/>
      </c>
      <c r="K20" s="6" t="str">
        <f t="shared" si="8"/>
        <v/>
      </c>
      <c r="L20" s="6" t="str">
        <f t="shared" si="9"/>
        <v/>
      </c>
      <c r="M20" s="6"/>
      <c r="N20" s="1">
        <v>45675</v>
      </c>
      <c r="V20" s="7" t="str">
        <f t="shared" si="10"/>
        <v>mov.annu.031.corie</v>
      </c>
      <c r="W20" t="s">
        <v>865</v>
      </c>
      <c r="X20" t="s">
        <v>870</v>
      </c>
      <c r="Y20" s="10" t="str">
        <f t="shared" si="11"/>
        <v>031</v>
      </c>
      <c r="Z20" t="s">
        <v>885</v>
      </c>
      <c r="AB20" t="s">
        <v>560</v>
      </c>
      <c r="AC20" s="3" t="s">
        <v>459</v>
      </c>
      <c r="AD20" s="4" t="s">
        <v>7</v>
      </c>
      <c r="AE20" t="s">
        <v>848</v>
      </c>
      <c r="AF20" t="s">
        <v>680</v>
      </c>
      <c r="AG20" t="s">
        <v>510</v>
      </c>
    </row>
    <row r="21" spans="1:33" ht="14.4" customHeight="1" x14ac:dyDescent="0.3">
      <c r="A21" s="7" t="str">
        <f t="shared" si="0"/>
        <v/>
      </c>
      <c r="B21" s="7" t="str">
        <f t="shared" si="3"/>
        <v/>
      </c>
      <c r="C21" s="8" t="str">
        <f t="shared" si="4"/>
        <v/>
      </c>
      <c r="D21" s="8" t="str">
        <f t="shared" si="1"/>
        <v/>
      </c>
      <c r="E21" s="8" t="str">
        <f t="shared" si="2"/>
        <v/>
      </c>
      <c r="F21" s="7" t="s">
        <v>578</v>
      </c>
      <c r="G21" s="7" t="str">
        <f t="shared" si="5"/>
        <v>0119</v>
      </c>
      <c r="H21" s="7" t="str">
        <f t="shared" si="6"/>
        <v/>
      </c>
      <c r="I21" s="7" t="str">
        <f t="shared" si="7"/>
        <v/>
      </c>
      <c r="J21" s="6" t="str">
        <f>IFERROR(_xlfn.CONCAT(_xlfn.TEXTSPLIT(SUBSTITUTE(SUBSTITUTE(LOWER(Q21),"æ","ae"), " de ", " "),{"b. ","ss. ","s. ","ss.mi ","in ",".",","," et","sanctae ","ę","ũ"})), "")</f>
        <v/>
      </c>
      <c r="K21" s="6" t="str">
        <f t="shared" si="8"/>
        <v/>
      </c>
      <c r="L21" s="6" t="str">
        <f t="shared" si="9"/>
        <v/>
      </c>
      <c r="M21" s="6"/>
      <c r="N21" s="1">
        <v>45676</v>
      </c>
      <c r="V21" s="7" t="str">
        <f t="shared" si="10"/>
        <v>mov.annu.031.unire</v>
      </c>
      <c r="W21" t="s">
        <v>865</v>
      </c>
      <c r="X21" t="s">
        <v>870</v>
      </c>
      <c r="Y21" s="10" t="str">
        <f t="shared" si="11"/>
        <v>031</v>
      </c>
      <c r="Z21" t="s">
        <v>886</v>
      </c>
      <c r="AB21" t="s">
        <v>561</v>
      </c>
      <c r="AC21" s="3" t="s">
        <v>459</v>
      </c>
      <c r="AD21" s="4" t="s">
        <v>7</v>
      </c>
      <c r="AE21" t="s">
        <v>851</v>
      </c>
      <c r="AF21" t="s">
        <v>784</v>
      </c>
      <c r="AG21" t="s">
        <v>511</v>
      </c>
    </row>
    <row r="22" spans="1:33" ht="14.4" customHeight="1" x14ac:dyDescent="0.3">
      <c r="A22" s="7" t="str">
        <f t="shared" si="0"/>
        <v>fix.0120.121.fabpa</v>
      </c>
      <c r="B22" s="7" t="str">
        <f t="shared" si="3"/>
        <v>121</v>
      </c>
      <c r="C22" s="8" t="str">
        <f t="shared" si="4"/>
        <v>S. Fabiani, papæ et martyris</v>
      </c>
      <c r="D22" s="8" t="str">
        <f t="shared" si="1"/>
        <v>St. Fabian, Pope and Martyr</v>
      </c>
      <c r="E22" s="8" t="str">
        <f t="shared" si="2"/>
        <v>성 파비아노 교황 순교자</v>
      </c>
      <c r="F22" s="7" t="s">
        <v>578</v>
      </c>
      <c r="G22" s="7" t="str">
        <f t="shared" si="5"/>
        <v>0120</v>
      </c>
      <c r="H22" s="7" t="str">
        <f t="shared" si="6"/>
        <v>121</v>
      </c>
      <c r="I22" s="7" t="str">
        <f t="shared" si="7"/>
        <v>fabpa</v>
      </c>
      <c r="J22" s="6" t="str">
        <f>IFERROR(_xlfn.CONCAT(_xlfn.TEXTSPLIT(SUBSTITUTE(SUBSTITUTE(LOWER(Q22),"æ","ae"), " de ", " "),{"b. ","ss. ","s. ","ss.mi ","in ",".",","," et","sanctae ","ę","ũ"})), "")</f>
        <v>fabiani papae martyris</v>
      </c>
      <c r="K22" s="6">
        <f t="shared" si="8"/>
        <v>8</v>
      </c>
      <c r="L22" s="6" t="str">
        <f t="shared" si="9"/>
        <v>papaemartyris</v>
      </c>
      <c r="M22" s="6"/>
      <c r="N22" s="1">
        <v>45677</v>
      </c>
      <c r="O22" s="3" t="s">
        <v>471</v>
      </c>
      <c r="P22" s="4" t="s">
        <v>9</v>
      </c>
      <c r="Q22" s="2" t="s">
        <v>14</v>
      </c>
      <c r="R22" s="9" t="s">
        <v>596</v>
      </c>
      <c r="S22" s="2" t="s">
        <v>100</v>
      </c>
      <c r="V22" s="7" t="str">
        <f t="shared" si="10"/>
        <v>mov.nati.051.bapti</v>
      </c>
      <c r="W22" t="s">
        <v>865</v>
      </c>
      <c r="X22" t="s">
        <v>868</v>
      </c>
      <c r="Y22" s="10" t="str">
        <f t="shared" si="11"/>
        <v>051</v>
      </c>
      <c r="Z22" t="s">
        <v>887</v>
      </c>
      <c r="AB22" t="s">
        <v>562</v>
      </c>
      <c r="AC22" s="3" t="s">
        <v>462</v>
      </c>
      <c r="AD22" s="4" t="s">
        <v>20</v>
      </c>
      <c r="AE22" t="s">
        <v>856</v>
      </c>
      <c r="AF22" t="s">
        <v>606</v>
      </c>
      <c r="AG22" t="s">
        <v>512</v>
      </c>
    </row>
    <row r="23" spans="1:33" ht="14.4" customHeight="1" x14ac:dyDescent="0.3">
      <c r="A23" s="7" t="str">
        <f t="shared" si="0"/>
        <v>fix.0120.121.sebma</v>
      </c>
      <c r="B23" s="7" t="str">
        <f t="shared" si="3"/>
        <v>121</v>
      </c>
      <c r="C23" s="8" t="str">
        <f t="shared" si="4"/>
        <v>S. Sebastiani, martyris</v>
      </c>
      <c r="D23" s="8" t="str">
        <f t="shared" si="1"/>
        <v>St. Sebastian, Martyr</v>
      </c>
      <c r="E23" s="8" t="str">
        <f t="shared" si="2"/>
        <v>성 세바스티아노 순교자</v>
      </c>
      <c r="F23" s="7" t="s">
        <v>578</v>
      </c>
      <c r="G23" s="7" t="str">
        <f t="shared" si="5"/>
        <v>0120</v>
      </c>
      <c r="H23" s="7" t="str">
        <f t="shared" si="6"/>
        <v>121</v>
      </c>
      <c r="I23" s="7" t="str">
        <f t="shared" si="7"/>
        <v>sebma</v>
      </c>
      <c r="J23" s="6" t="str">
        <f>IFERROR(_xlfn.CONCAT(_xlfn.TEXTSPLIT(SUBSTITUTE(SUBSTITUTE(LOWER(Q23),"æ","ae"), " de ", " "),{"b. ","ss. ","s. ","ss.mi ","in ",".",","," et","sanctae ","ę","ũ"})), "")</f>
        <v>sebastiani martyris</v>
      </c>
      <c r="K23" s="6">
        <f t="shared" si="8"/>
        <v>11</v>
      </c>
      <c r="L23" s="6" t="str">
        <f t="shared" si="9"/>
        <v>martyris</v>
      </c>
      <c r="M23" s="6"/>
      <c r="N23" s="1">
        <v>45677</v>
      </c>
      <c r="O23" s="3" t="s">
        <v>471</v>
      </c>
      <c r="P23" s="4" t="s">
        <v>9</v>
      </c>
      <c r="Q23" s="2" t="s">
        <v>15</v>
      </c>
      <c r="R23" s="9" t="s">
        <v>597</v>
      </c>
      <c r="S23" s="2" t="s">
        <v>101</v>
      </c>
      <c r="V23" s="7" t="str">
        <f t="shared" si="10"/>
        <v>mov.nati.051.famil</v>
      </c>
      <c r="W23" t="s">
        <v>865</v>
      </c>
      <c r="X23" t="s">
        <v>868</v>
      </c>
      <c r="Y23" s="10" t="str">
        <f t="shared" si="11"/>
        <v>051</v>
      </c>
      <c r="Z23" t="s">
        <v>888</v>
      </c>
      <c r="AB23" t="s">
        <v>563</v>
      </c>
      <c r="AC23" s="3" t="s">
        <v>462</v>
      </c>
      <c r="AD23" s="4" t="s">
        <v>20</v>
      </c>
      <c r="AE23" t="s">
        <v>850</v>
      </c>
      <c r="AF23" t="s">
        <v>810</v>
      </c>
      <c r="AG23" t="s">
        <v>513</v>
      </c>
    </row>
    <row r="24" spans="1:33" ht="14.4" customHeight="1" x14ac:dyDescent="0.3">
      <c r="A24" s="7" t="str">
        <f t="shared" si="0"/>
        <v>fix.0121.101.agnvi</v>
      </c>
      <c r="B24" s="7" t="str">
        <f t="shared" si="3"/>
        <v>101</v>
      </c>
      <c r="C24" s="8" t="str">
        <f t="shared" si="4"/>
        <v>S. Agnetis, virginis et martyris</v>
      </c>
      <c r="D24" s="8" t="str">
        <f t="shared" si="1"/>
        <v xml:space="preserve">St. Agnes, Virgin and Martyr </v>
      </c>
      <c r="E24" s="8" t="str">
        <f t="shared" si="2"/>
        <v>성녀 아녜스 동정 순교자 기념일</v>
      </c>
      <c r="F24" s="7" t="s">
        <v>578</v>
      </c>
      <c r="G24" s="7" t="str">
        <f t="shared" si="5"/>
        <v>0121</v>
      </c>
      <c r="H24" s="7" t="str">
        <f t="shared" si="6"/>
        <v>101</v>
      </c>
      <c r="I24" s="7" t="str">
        <f t="shared" si="7"/>
        <v>agnvi</v>
      </c>
      <c r="J24" s="6" t="str">
        <f>IFERROR(_xlfn.CONCAT(_xlfn.TEXTSPLIT(SUBSTITUTE(SUBSTITUTE(LOWER(Q24),"æ","ae"), " de ", " "),{"b. ","ss. ","s. ","ss.mi ","in ",".",","," et","sanctae ","ę","ũ"})), "")</f>
        <v>agnetis virginis martyris</v>
      </c>
      <c r="K24" s="6">
        <f t="shared" si="8"/>
        <v>8</v>
      </c>
      <c r="L24" s="6" t="str">
        <f t="shared" si="9"/>
        <v>virginismartyris</v>
      </c>
      <c r="M24" s="6"/>
      <c r="N24" s="1">
        <v>45678</v>
      </c>
      <c r="O24" s="3">
        <v>101</v>
      </c>
      <c r="P24" s="4" t="s">
        <v>8</v>
      </c>
      <c r="Q24" s="2" t="s">
        <v>16</v>
      </c>
      <c r="R24" s="9" t="s">
        <v>598</v>
      </c>
      <c r="S24" s="2" t="s">
        <v>102</v>
      </c>
      <c r="V24" s="7" t="str">
        <f t="shared" si="10"/>
        <v/>
      </c>
      <c r="W24" t="s">
        <v>865</v>
      </c>
      <c r="X24" t="s">
        <v>868</v>
      </c>
      <c r="Y24" s="10" t="str">
        <f t="shared" si="11"/>
        <v>061</v>
      </c>
      <c r="AB24" t="s">
        <v>564</v>
      </c>
      <c r="AC24" s="3" t="s">
        <v>515</v>
      </c>
      <c r="AD24" s="4"/>
      <c r="AE24" t="s">
        <v>857</v>
      </c>
      <c r="AF24" t="s">
        <v>826</v>
      </c>
      <c r="AG24" t="s">
        <v>565</v>
      </c>
    </row>
    <row r="25" spans="1:33" ht="14.4" customHeight="1" x14ac:dyDescent="0.3">
      <c r="A25" s="7" t="str">
        <f t="shared" si="0"/>
        <v>fix.0122.121.vindi</v>
      </c>
      <c r="B25" s="7" t="str">
        <f t="shared" si="3"/>
        <v>121</v>
      </c>
      <c r="C25" s="8" t="str">
        <f t="shared" si="4"/>
        <v>S. Vincentii, diaconi et martyris</v>
      </c>
      <c r="D25" s="8" t="str">
        <f t="shared" si="1"/>
        <v>St. Vincent, Deacon and Martyr</v>
      </c>
      <c r="E25" s="8" t="str">
        <f t="shared" si="2"/>
        <v>성 빈첸시오 부제 순교자</v>
      </c>
      <c r="F25" s="7" t="s">
        <v>578</v>
      </c>
      <c r="G25" s="7" t="str">
        <f t="shared" si="5"/>
        <v>0122</v>
      </c>
      <c r="H25" s="7" t="str">
        <f t="shared" si="6"/>
        <v>121</v>
      </c>
      <c r="I25" s="7" t="str">
        <f t="shared" si="7"/>
        <v>vindi</v>
      </c>
      <c r="J25" s="6" t="str">
        <f>IFERROR(_xlfn.CONCAT(_xlfn.TEXTSPLIT(SUBSTITUTE(SUBSTITUTE(LOWER(Q25),"æ","ae"), " de ", " "),{"b. ","ss. ","s. ","ss.mi ","in ",".",","," et","sanctae ","ę","ũ"})), "")</f>
        <v>vincentii diaconi martyris</v>
      </c>
      <c r="K25" s="6">
        <f t="shared" si="8"/>
        <v>10</v>
      </c>
      <c r="L25" s="6" t="str">
        <f t="shared" si="9"/>
        <v>diaconimartyris</v>
      </c>
      <c r="M25" s="6"/>
      <c r="N25" s="1">
        <v>45679</v>
      </c>
      <c r="O25" s="3" t="s">
        <v>471</v>
      </c>
      <c r="P25" s="4" t="s">
        <v>9</v>
      </c>
      <c r="Q25" s="2" t="s">
        <v>17</v>
      </c>
      <c r="R25" s="9" t="s">
        <v>599</v>
      </c>
      <c r="S25" s="2" t="s">
        <v>103</v>
      </c>
      <c r="V25" s="7" t="str">
        <f t="shared" si="10"/>
        <v/>
      </c>
      <c r="W25" t="s">
        <v>865</v>
      </c>
      <c r="X25" t="s">
        <v>870</v>
      </c>
      <c r="Y25" s="10" t="str">
        <f t="shared" si="11"/>
        <v>061</v>
      </c>
      <c r="AB25" s="2" t="s">
        <v>566</v>
      </c>
      <c r="AC25" s="3" t="s">
        <v>515</v>
      </c>
      <c r="AD25" s="4"/>
      <c r="AE25" t="s">
        <v>863</v>
      </c>
      <c r="AF25" t="s">
        <v>832</v>
      </c>
      <c r="AG25" t="s">
        <v>514</v>
      </c>
    </row>
    <row r="26" spans="1:33" ht="14.4" customHeight="1" x14ac:dyDescent="0.3">
      <c r="A26" s="7" t="str">
        <f t="shared" si="0"/>
        <v/>
      </c>
      <c r="B26" s="7" t="str">
        <f t="shared" si="3"/>
        <v/>
      </c>
      <c r="C26" s="8" t="str">
        <f t="shared" si="4"/>
        <v/>
      </c>
      <c r="D26" s="8" t="str">
        <f t="shared" si="1"/>
        <v/>
      </c>
      <c r="E26" s="8" t="str">
        <f t="shared" si="2"/>
        <v/>
      </c>
      <c r="F26" s="7" t="s">
        <v>578</v>
      </c>
      <c r="G26" s="7" t="str">
        <f t="shared" si="5"/>
        <v>0123</v>
      </c>
      <c r="H26" s="7" t="str">
        <f t="shared" si="6"/>
        <v/>
      </c>
      <c r="I26" s="7" t="str">
        <f t="shared" si="7"/>
        <v/>
      </c>
      <c r="J26" s="6" t="str">
        <f>IFERROR(_xlfn.CONCAT(_xlfn.TEXTSPLIT(SUBSTITUTE(SUBSTITUTE(LOWER(Q26),"æ","ae"), " de ", " "),{"b. ","ss. ","s. ","ss.mi ","in ",".",","," et","sanctae ","ę","ũ"})), "")</f>
        <v/>
      </c>
      <c r="K26" s="6" t="str">
        <f t="shared" si="8"/>
        <v/>
      </c>
      <c r="L26" s="6" t="str">
        <f t="shared" si="9"/>
        <v/>
      </c>
      <c r="M26" s="6"/>
      <c r="N26" s="1">
        <v>45680</v>
      </c>
      <c r="V26" s="7" t="str">
        <f t="shared" si="10"/>
        <v/>
      </c>
      <c r="W26" t="s">
        <v>865</v>
      </c>
      <c r="X26" t="s">
        <v>867</v>
      </c>
      <c r="Y26" s="10" t="str">
        <f t="shared" si="11"/>
        <v>093</v>
      </c>
      <c r="AB26" t="s">
        <v>567</v>
      </c>
      <c r="AC26" s="3" t="s">
        <v>533</v>
      </c>
      <c r="AD26" s="4"/>
      <c r="AE26" t="s">
        <v>858</v>
      </c>
      <c r="AF26" t="s">
        <v>831</v>
      </c>
      <c r="AG26" t="s">
        <v>534</v>
      </c>
    </row>
    <row r="27" spans="1:33" ht="14.4" customHeight="1" x14ac:dyDescent="0.3">
      <c r="A27" s="7" t="str">
        <f t="shared" si="0"/>
        <v>fix.0124.101.frasa</v>
      </c>
      <c r="B27" s="7" t="str">
        <f t="shared" si="3"/>
        <v>101</v>
      </c>
      <c r="C27" s="8" t="str">
        <f t="shared" si="4"/>
        <v>S. Francisci de Sales, episcopi et Ecclesiæ doctoris</v>
      </c>
      <c r="D27" s="8" t="str">
        <f t="shared" si="1"/>
        <v>St. Francis de Sales, Bishop and Doctor of the Church</v>
      </c>
      <c r="E27" s="8" t="str">
        <f t="shared" si="2"/>
        <v>성 프란치스코 살레시오 주교 학자 기념일</v>
      </c>
      <c r="F27" s="7" t="s">
        <v>578</v>
      </c>
      <c r="G27" s="7" t="str">
        <f t="shared" si="5"/>
        <v>0124</v>
      </c>
      <c r="H27" s="7" t="str">
        <f t="shared" si="6"/>
        <v>101</v>
      </c>
      <c r="I27" s="7" t="str">
        <f t="shared" si="7"/>
        <v>frasa</v>
      </c>
      <c r="J27" s="6" t="str">
        <f>IFERROR(_xlfn.CONCAT(_xlfn.TEXTSPLIT(SUBSTITUTE(SUBSTITUTE(LOWER(Q27),"æ","ae"), " de ", " "),{"b. ","ss. ","s. ","ss.mi ","in ",".",","," et","sanctae ","ę","ũ"})), "")</f>
        <v>francisci sales episcopi ecclesiae doctoris</v>
      </c>
      <c r="K27" s="6">
        <f t="shared" si="8"/>
        <v>10</v>
      </c>
      <c r="L27" s="6" t="str">
        <f t="shared" si="9"/>
        <v>salesepiscopiecclesiaedoctoris</v>
      </c>
      <c r="M27" s="6"/>
      <c r="N27" s="1">
        <v>45681</v>
      </c>
      <c r="O27" s="3">
        <v>101</v>
      </c>
      <c r="P27" s="4" t="s">
        <v>8</v>
      </c>
      <c r="Q27" s="2" t="s">
        <v>18</v>
      </c>
      <c r="R27" s="9" t="s">
        <v>600</v>
      </c>
      <c r="S27" s="2" t="s">
        <v>104</v>
      </c>
      <c r="V27" s="7" t="str">
        <f t="shared" si="10"/>
        <v>mov.annu.101.corma</v>
      </c>
      <c r="W27" t="s">
        <v>865</v>
      </c>
      <c r="X27" t="s">
        <v>870</v>
      </c>
      <c r="Y27" s="10" t="str">
        <f t="shared" si="11"/>
        <v>101</v>
      </c>
      <c r="Z27" t="s">
        <v>889</v>
      </c>
      <c r="AB27" t="s">
        <v>568</v>
      </c>
      <c r="AC27" s="3" t="s">
        <v>535</v>
      </c>
      <c r="AD27" s="4" t="s">
        <v>8</v>
      </c>
      <c r="AE27" t="s">
        <v>849</v>
      </c>
      <c r="AF27" t="s">
        <v>681</v>
      </c>
      <c r="AG27" t="s">
        <v>536</v>
      </c>
    </row>
    <row r="28" spans="1:33" ht="14.4" customHeight="1" x14ac:dyDescent="0.3">
      <c r="A28" s="7" t="str">
        <f t="shared" si="0"/>
        <v>fix.0125.071.conpa</v>
      </c>
      <c r="B28" s="7" t="str">
        <f t="shared" si="3"/>
        <v>071</v>
      </c>
      <c r="C28" s="8" t="str">
        <f t="shared" si="4"/>
        <v>In Conversione S. Pauli, apostoli</v>
      </c>
      <c r="D28" s="8" t="str">
        <f t="shared" si="1"/>
        <v>The Conversion of St Paul the Apostle</v>
      </c>
      <c r="E28" s="8" t="str">
        <f t="shared" si="2"/>
        <v>성 바오로 사도의 회심 축일</v>
      </c>
      <c r="F28" s="7" t="s">
        <v>578</v>
      </c>
      <c r="G28" s="7" t="str">
        <f t="shared" si="5"/>
        <v>0125</v>
      </c>
      <c r="H28" s="7" t="str">
        <f t="shared" si="6"/>
        <v>071</v>
      </c>
      <c r="I28" s="7" t="str">
        <f t="shared" si="7"/>
        <v>conpa</v>
      </c>
      <c r="J28" s="6" t="str">
        <f>IFERROR(_xlfn.CONCAT(_xlfn.TEXTSPLIT(SUBSTITUTE(SUBSTITUTE(LOWER(Q28),"æ","ae"), " de ", " "),{"b. ","ss. ","s. ","ss.mi ","in ",".",","," et","sanctae ","ę","ũ"})), "")</f>
        <v>conversione pauli apostoli</v>
      </c>
      <c r="K28" s="6">
        <f t="shared" si="8"/>
        <v>12</v>
      </c>
      <c r="L28" s="6" t="str">
        <f t="shared" si="9"/>
        <v>pauliapostoli</v>
      </c>
      <c r="M28" s="6"/>
      <c r="N28" s="1">
        <v>45682</v>
      </c>
      <c r="O28" s="3" t="s">
        <v>463</v>
      </c>
      <c r="P28" s="4" t="s">
        <v>20</v>
      </c>
      <c r="Q28" s="2" t="s">
        <v>19</v>
      </c>
      <c r="R28" s="9" t="s">
        <v>601</v>
      </c>
      <c r="S28" s="2" t="s">
        <v>105</v>
      </c>
      <c r="V28" s="7" t="str">
        <f t="shared" si="10"/>
        <v/>
      </c>
      <c r="W28" t="s">
        <v>865</v>
      </c>
      <c r="X28" t="s">
        <v>869</v>
      </c>
      <c r="Y28" s="10" t="str">
        <f t="shared" si="11"/>
        <v>131</v>
      </c>
      <c r="AB28" t="s">
        <v>569</v>
      </c>
      <c r="AC28" s="3" t="s">
        <v>537</v>
      </c>
      <c r="AD28" s="4"/>
      <c r="AE28" t="s">
        <v>859</v>
      </c>
      <c r="AF28" t="s">
        <v>830</v>
      </c>
      <c r="AG28" t="s">
        <v>571</v>
      </c>
    </row>
    <row r="29" spans="1:33" ht="14.4" customHeight="1" x14ac:dyDescent="0.3">
      <c r="A29" s="7" t="str">
        <f t="shared" si="0"/>
        <v>fix.0126.101.timti</v>
      </c>
      <c r="B29" s="7" t="str">
        <f t="shared" si="3"/>
        <v>101</v>
      </c>
      <c r="C29" s="8" t="str">
        <f t="shared" si="4"/>
        <v>Ss. Timothei et Titi, episcoporum</v>
      </c>
      <c r="D29" s="8" t="str">
        <f t="shared" si="1"/>
        <v>Sts. Timothy and Titus, Bishops</v>
      </c>
      <c r="E29" s="8" t="str">
        <f t="shared" si="2"/>
        <v>성 티모테오와 성 티토 주교 기념일</v>
      </c>
      <c r="F29" s="7" t="s">
        <v>578</v>
      </c>
      <c r="G29" s="7" t="str">
        <f t="shared" si="5"/>
        <v>0126</v>
      </c>
      <c r="H29" s="7" t="str">
        <f t="shared" si="6"/>
        <v>101</v>
      </c>
      <c r="I29" s="7" t="str">
        <f t="shared" si="7"/>
        <v>timti</v>
      </c>
      <c r="J29" s="6" t="str">
        <f>IFERROR(_xlfn.CONCAT(_xlfn.TEXTSPLIT(SUBSTITUTE(SUBSTITUTE(LOWER(Q29),"æ","ae"), " de ", " "),{"b. ","ss. ","s. ","ss.mi ","in ",".",","," et","sanctae ","ę","ũ"})), "")</f>
        <v>timothei titi episcoporum</v>
      </c>
      <c r="K29" s="6">
        <f t="shared" si="8"/>
        <v>9</v>
      </c>
      <c r="L29" s="6" t="str">
        <f t="shared" si="9"/>
        <v>titiepiscoporum</v>
      </c>
      <c r="M29" s="6"/>
      <c r="N29" s="1">
        <v>45683</v>
      </c>
      <c r="O29" s="3">
        <v>101</v>
      </c>
      <c r="P29" s="4" t="s">
        <v>8</v>
      </c>
      <c r="Q29" s="2" t="s">
        <v>22</v>
      </c>
      <c r="R29" s="9" t="s">
        <v>602</v>
      </c>
      <c r="S29" s="2" t="s">
        <v>106</v>
      </c>
      <c r="V29" s="7" t="str">
        <f t="shared" si="10"/>
        <v/>
      </c>
      <c r="W29" t="s">
        <v>865</v>
      </c>
      <c r="X29" t="s">
        <v>868</v>
      </c>
      <c r="Y29" s="10" t="str">
        <f t="shared" si="11"/>
        <v>132</v>
      </c>
      <c r="AB29" t="s">
        <v>570</v>
      </c>
      <c r="AC29" s="3" t="s">
        <v>538</v>
      </c>
      <c r="AD29" s="4"/>
      <c r="AE29" t="s">
        <v>860</v>
      </c>
      <c r="AF29" t="s">
        <v>827</v>
      </c>
      <c r="AG29" t="s">
        <v>572</v>
      </c>
    </row>
    <row r="30" spans="1:33" ht="14.4" customHeight="1" x14ac:dyDescent="0.3">
      <c r="A30" s="7" t="str">
        <f t="shared" si="0"/>
        <v>fix.0127.121.angme</v>
      </c>
      <c r="B30" s="7" t="str">
        <f t="shared" si="3"/>
        <v>121</v>
      </c>
      <c r="C30" s="8" t="str">
        <f t="shared" si="4"/>
        <v>S. Angelæ Merici, virginis</v>
      </c>
      <c r="D30" s="8" t="str">
        <f t="shared" si="1"/>
        <v>St. Angela Merici, Virgin</v>
      </c>
      <c r="E30" s="8" t="str">
        <f t="shared" si="2"/>
        <v>성녀 안젤라 메리치 동정</v>
      </c>
      <c r="F30" s="7" t="s">
        <v>578</v>
      </c>
      <c r="G30" s="7" t="str">
        <f t="shared" si="5"/>
        <v>0127</v>
      </c>
      <c r="H30" s="7" t="str">
        <f t="shared" si="6"/>
        <v>121</v>
      </c>
      <c r="I30" s="7" t="str">
        <f t="shared" si="7"/>
        <v>angme</v>
      </c>
      <c r="J30" s="6" t="str">
        <f>IFERROR(_xlfn.CONCAT(_xlfn.TEXTSPLIT(SUBSTITUTE(SUBSTITUTE(LOWER(Q30),"æ","ae"), " de ", " "),{"b. ","ss. ","s. ","ss.mi ","in ",".",","," et","sanctae ","ę","ũ"})), "")</f>
        <v>angelae merici virginis</v>
      </c>
      <c r="K30" s="6">
        <f t="shared" si="8"/>
        <v>8</v>
      </c>
      <c r="L30" s="6" t="str">
        <f t="shared" si="9"/>
        <v>mericivirginis</v>
      </c>
      <c r="M30" s="6"/>
      <c r="N30" s="1">
        <v>45684</v>
      </c>
      <c r="O30" s="3" t="s">
        <v>471</v>
      </c>
      <c r="P30" s="4" t="s">
        <v>9</v>
      </c>
      <c r="Q30" s="2" t="s">
        <v>23</v>
      </c>
      <c r="R30" s="9" t="s">
        <v>603</v>
      </c>
      <c r="S30" s="2" t="s">
        <v>107</v>
      </c>
      <c r="V30" s="7" t="str">
        <f t="shared" si="10"/>
        <v/>
      </c>
      <c r="W30" t="s">
        <v>865</v>
      </c>
      <c r="X30" t="s">
        <v>866</v>
      </c>
      <c r="Y30" s="10" t="str">
        <f t="shared" si="11"/>
        <v>133</v>
      </c>
      <c r="AB30" t="s">
        <v>573</v>
      </c>
      <c r="AC30" s="3" t="s">
        <v>539</v>
      </c>
      <c r="AD30" s="4"/>
      <c r="AE30" t="s">
        <v>861</v>
      </c>
      <c r="AF30" t="s">
        <v>828</v>
      </c>
      <c r="AG30" t="s">
        <v>540</v>
      </c>
    </row>
    <row r="31" spans="1:33" ht="14.4" customHeight="1" x14ac:dyDescent="0.3">
      <c r="A31" s="7" t="str">
        <f t="shared" si="0"/>
        <v>fix.0128.101.thoaq</v>
      </c>
      <c r="B31" s="7" t="str">
        <f t="shared" si="3"/>
        <v>101</v>
      </c>
      <c r="C31" s="8" t="str">
        <f t="shared" si="4"/>
        <v>S. Thomæ de Aquino, presbyteri et Ecclesiæ doctoris</v>
      </c>
      <c r="D31" s="8" t="str">
        <f t="shared" si="1"/>
        <v>St. Thomas Aquinas, Priest and Doctor of the Church</v>
      </c>
      <c r="E31" s="8" t="str">
        <f t="shared" si="2"/>
        <v>성 토마스 아퀴나스 사제 학자 기념일</v>
      </c>
      <c r="F31" s="7" t="s">
        <v>578</v>
      </c>
      <c r="G31" s="7" t="str">
        <f t="shared" si="5"/>
        <v>0128</v>
      </c>
      <c r="H31" s="7" t="str">
        <f t="shared" si="6"/>
        <v>101</v>
      </c>
      <c r="I31" s="7" t="str">
        <f t="shared" si="7"/>
        <v>thoaq</v>
      </c>
      <c r="J31" s="6" t="str">
        <f>IFERROR(_xlfn.CONCAT(_xlfn.TEXTSPLIT(SUBSTITUTE(SUBSTITUTE(LOWER(Q31),"æ","ae"), " de ", " "),{"b. ","ss. ","s. ","ss.mi ","in ",".",","," et","sanctae ","ę","ũ"})), "")</f>
        <v>thomae aquino presbyteri ecclesiae doctoris</v>
      </c>
      <c r="K31" s="6">
        <f t="shared" si="8"/>
        <v>7</v>
      </c>
      <c r="L31" s="6" t="str">
        <f t="shared" si="9"/>
        <v>aquinopresbyteriecclesiaedoctoris</v>
      </c>
      <c r="M31" s="6"/>
      <c r="N31" s="1">
        <v>45685</v>
      </c>
      <c r="O31" s="3">
        <v>101</v>
      </c>
      <c r="P31" s="4" t="s">
        <v>8</v>
      </c>
      <c r="Q31" s="2" t="s">
        <v>24</v>
      </c>
      <c r="R31" s="9" t="s">
        <v>604</v>
      </c>
      <c r="S31" s="2" t="s">
        <v>108</v>
      </c>
      <c r="V31" s="7" t="str">
        <f t="shared" si="10"/>
        <v/>
      </c>
      <c r="W31" t="s">
        <v>865</v>
      </c>
      <c r="X31" t="s">
        <v>870</v>
      </c>
      <c r="Y31" s="10" t="str">
        <f t="shared" si="11"/>
        <v>134</v>
      </c>
      <c r="AB31" t="s">
        <v>574</v>
      </c>
      <c r="AC31" s="3" t="s">
        <v>541</v>
      </c>
      <c r="AD31" s="4"/>
      <c r="AE31" t="s">
        <v>862</v>
      </c>
      <c r="AF31" t="s">
        <v>829</v>
      </c>
      <c r="AG31" t="s">
        <v>542</v>
      </c>
    </row>
    <row r="32" spans="1:33" ht="14.4" customHeight="1" x14ac:dyDescent="0.3">
      <c r="A32" s="7" t="str">
        <f t="shared" si="0"/>
        <v/>
      </c>
      <c r="B32" s="7" t="str">
        <f t="shared" si="3"/>
        <v/>
      </c>
      <c r="C32" s="8" t="str">
        <f t="shared" si="4"/>
        <v/>
      </c>
      <c r="D32" s="8" t="str">
        <f t="shared" si="1"/>
        <v/>
      </c>
      <c r="E32" s="8" t="str">
        <f t="shared" si="2"/>
        <v/>
      </c>
      <c r="F32" s="7" t="s">
        <v>578</v>
      </c>
      <c r="G32" s="7" t="str">
        <f t="shared" si="5"/>
        <v>0129</v>
      </c>
      <c r="H32" s="7" t="str">
        <f t="shared" si="6"/>
        <v/>
      </c>
      <c r="I32" s="7" t="str">
        <f t="shared" si="7"/>
        <v/>
      </c>
      <c r="J32" s="6" t="str">
        <f>IFERROR(_xlfn.CONCAT(_xlfn.TEXTSPLIT(SUBSTITUTE(SUBSTITUTE(LOWER(Q32),"æ","ae"), " de ", " "),{"b. ","ss. ","s. ","ss.mi ","in ",".",","," et","sanctae ","ę","ũ"})), "")</f>
        <v/>
      </c>
      <c r="K32" s="6" t="str">
        <f t="shared" si="8"/>
        <v/>
      </c>
      <c r="L32" s="6" t="str">
        <f t="shared" si="9"/>
        <v/>
      </c>
      <c r="M32" s="6"/>
      <c r="N32" s="1">
        <v>45686</v>
      </c>
    </row>
    <row r="33" spans="1:19" ht="14.4" customHeight="1" x14ac:dyDescent="0.3">
      <c r="A33" s="7" t="str">
        <f t="shared" si="0"/>
        <v/>
      </c>
      <c r="B33" s="7" t="str">
        <f t="shared" si="3"/>
        <v/>
      </c>
      <c r="C33" s="8" t="str">
        <f t="shared" si="4"/>
        <v/>
      </c>
      <c r="D33" s="8" t="str">
        <f t="shared" si="1"/>
        <v/>
      </c>
      <c r="E33" s="8" t="str">
        <f t="shared" si="2"/>
        <v/>
      </c>
      <c r="F33" s="7" t="s">
        <v>578</v>
      </c>
      <c r="G33" s="7" t="str">
        <f t="shared" si="5"/>
        <v>0130</v>
      </c>
      <c r="H33" s="7" t="str">
        <f t="shared" si="6"/>
        <v/>
      </c>
      <c r="I33" s="7" t="str">
        <f t="shared" si="7"/>
        <v/>
      </c>
      <c r="J33" s="6" t="str">
        <f>IFERROR(_xlfn.CONCAT(_xlfn.TEXTSPLIT(SUBSTITUTE(SUBSTITUTE(LOWER(Q33),"æ","ae"), " de ", " "),{"b. ","ss. ","s. ","ss.mi ","in ",".",","," et","sanctae ","ę","ũ"})), "")</f>
        <v/>
      </c>
      <c r="K33" s="6" t="str">
        <f t="shared" si="8"/>
        <v/>
      </c>
      <c r="L33" s="6" t="str">
        <f t="shared" si="9"/>
        <v/>
      </c>
      <c r="M33" s="6"/>
      <c r="N33" s="1">
        <v>45687</v>
      </c>
    </row>
    <row r="34" spans="1:19" ht="14.4" customHeight="1" x14ac:dyDescent="0.3">
      <c r="A34" s="7" t="str">
        <f t="shared" si="0"/>
        <v>fix.0131.101.ioabo</v>
      </c>
      <c r="B34" s="7" t="str">
        <f t="shared" si="3"/>
        <v>101</v>
      </c>
      <c r="C34" s="8" t="str">
        <f t="shared" si="4"/>
        <v>S. Ioannis Bosco, presbyteri</v>
      </c>
      <c r="D34" s="8" t="str">
        <f t="shared" si="1"/>
        <v>St. John Bosco, Priest</v>
      </c>
      <c r="E34" s="8" t="str">
        <f t="shared" si="2"/>
        <v>성 요한 보스코 사제 기념일</v>
      </c>
      <c r="F34" s="7" t="s">
        <v>578</v>
      </c>
      <c r="G34" s="7" t="str">
        <f t="shared" si="5"/>
        <v>0131</v>
      </c>
      <c r="H34" s="7" t="str">
        <f t="shared" si="6"/>
        <v>101</v>
      </c>
      <c r="I34" s="7" t="str">
        <f t="shared" si="7"/>
        <v>ioabo</v>
      </c>
      <c r="J34" s="6" t="str">
        <f>IFERROR(_xlfn.CONCAT(_xlfn.TEXTSPLIT(SUBSTITUTE(SUBSTITUTE(LOWER(Q34),"æ","ae"), " de ", " "),{"b. ","ss. ","s. ","ss.mi ","in ",".",","," et","sanctae ","ę","ũ"})), "")</f>
        <v>ioannis bosco presbyteri</v>
      </c>
      <c r="K34" s="6">
        <f t="shared" si="8"/>
        <v>8</v>
      </c>
      <c r="L34" s="6" t="str">
        <f t="shared" si="9"/>
        <v>boscopresbyteri</v>
      </c>
      <c r="M34" s="6"/>
      <c r="N34" s="1">
        <v>45688</v>
      </c>
      <c r="O34" s="3">
        <v>101</v>
      </c>
      <c r="P34" s="4" t="s">
        <v>8</v>
      </c>
      <c r="Q34" s="2" t="s">
        <v>26</v>
      </c>
      <c r="R34" s="9" t="s">
        <v>605</v>
      </c>
      <c r="S34" s="2" t="s">
        <v>109</v>
      </c>
    </row>
    <row r="35" spans="1:19" ht="14.4" customHeight="1" x14ac:dyDescent="0.3">
      <c r="A35" s="7" t="str">
        <f t="shared" si="0"/>
        <v/>
      </c>
      <c r="B35" s="7" t="str">
        <f t="shared" si="3"/>
        <v/>
      </c>
      <c r="C35" s="8" t="str">
        <f t="shared" si="4"/>
        <v/>
      </c>
      <c r="D35" s="8" t="str">
        <f t="shared" si="1"/>
        <v/>
      </c>
      <c r="E35" s="8" t="str">
        <f t="shared" si="2"/>
        <v/>
      </c>
      <c r="F35" s="7" t="s">
        <v>578</v>
      </c>
      <c r="G35" s="7" t="str">
        <f t="shared" si="5"/>
        <v>0201</v>
      </c>
      <c r="H35" s="7" t="str">
        <f t="shared" si="6"/>
        <v/>
      </c>
      <c r="I35" s="7" t="str">
        <f t="shared" si="7"/>
        <v/>
      </c>
      <c r="J35" s="6" t="str">
        <f>IFERROR(_xlfn.CONCAT(_xlfn.TEXTSPLIT(SUBSTITUTE(SUBSTITUTE(LOWER(Q35),"æ","ae"), " de ", " "),{"b. ","ss. ","s. ","ss.mi ","in ",".",","," et","sanctae ","ę","ũ"})), "")</f>
        <v/>
      </c>
      <c r="K35" s="6" t="str">
        <f t="shared" si="8"/>
        <v/>
      </c>
      <c r="L35" s="6" t="str">
        <f t="shared" si="9"/>
        <v/>
      </c>
      <c r="M35" s="6"/>
      <c r="N35" s="1">
        <v>45689</v>
      </c>
    </row>
    <row r="36" spans="1:19" ht="14.4" customHeight="1" x14ac:dyDescent="0.3">
      <c r="A36" s="7" t="str">
        <f t="shared" si="0"/>
        <v>fix.0202.051.prado</v>
      </c>
      <c r="B36" s="7" t="str">
        <f t="shared" si="3"/>
        <v>051</v>
      </c>
      <c r="C36" s="8" t="str">
        <f t="shared" si="4"/>
        <v>IN PRÆSENTATIONE DOMINI</v>
      </c>
      <c r="D36" s="8" t="str">
        <f t="shared" si="1"/>
        <v>The Presentation of the Lord</v>
      </c>
      <c r="E36" s="8" t="str">
        <f t="shared" si="2"/>
        <v>주님 봉헌 축일</v>
      </c>
      <c r="F36" s="7" t="s">
        <v>578</v>
      </c>
      <c r="G36" s="7" t="str">
        <f t="shared" si="5"/>
        <v>0202</v>
      </c>
      <c r="H36" s="7" t="str">
        <f t="shared" si="6"/>
        <v>051</v>
      </c>
      <c r="I36" s="7" t="str">
        <f t="shared" si="7"/>
        <v>prado</v>
      </c>
      <c r="J36" s="6" t="str">
        <f>IFERROR(_xlfn.CONCAT(_xlfn.TEXTSPLIT(SUBSTITUTE(SUBSTITUTE(LOWER(Q36),"æ","ae"), " de ", " "),{"b. ","ss. ","s. ","ss.mi ","in ",".",","," et","sanctae ","ę","ũ"})), "")</f>
        <v>praesentatione domini</v>
      </c>
      <c r="K36" s="6">
        <f t="shared" si="8"/>
        <v>15</v>
      </c>
      <c r="L36" s="6" t="str">
        <f t="shared" si="9"/>
        <v>domini</v>
      </c>
      <c r="M36" s="6"/>
      <c r="N36" s="1">
        <v>45690</v>
      </c>
      <c r="O36" s="3" t="s">
        <v>462</v>
      </c>
      <c r="P36" s="4" t="s">
        <v>20</v>
      </c>
      <c r="Q36" s="2" t="s">
        <v>27</v>
      </c>
      <c r="R36" s="9" t="s">
        <v>607</v>
      </c>
      <c r="S36" s="2" t="s">
        <v>110</v>
      </c>
    </row>
    <row r="37" spans="1:19" ht="14.4" customHeight="1" x14ac:dyDescent="0.3">
      <c r="A37" s="7" t="str">
        <f t="shared" si="0"/>
        <v>fix.0203.121.blaep</v>
      </c>
      <c r="B37" s="7" t="str">
        <f t="shared" si="3"/>
        <v>121</v>
      </c>
      <c r="C37" s="8" t="str">
        <f t="shared" si="4"/>
        <v>S. Blasii, episcopi et martyris</v>
      </c>
      <c r="D37" s="8" t="str">
        <f t="shared" si="1"/>
        <v>St. Blaise, Bishop and Martyr</v>
      </c>
      <c r="E37" s="8" t="str">
        <f t="shared" si="2"/>
        <v>성 블라시오 주교 순교자</v>
      </c>
      <c r="F37" s="7" t="s">
        <v>578</v>
      </c>
      <c r="G37" s="7" t="str">
        <f t="shared" si="5"/>
        <v>0203</v>
      </c>
      <c r="H37" s="7" t="str">
        <f t="shared" si="6"/>
        <v>121</v>
      </c>
      <c r="I37" s="7" t="str">
        <f t="shared" si="7"/>
        <v>blaep</v>
      </c>
      <c r="J37" s="6" t="str">
        <f>IFERROR(_xlfn.CONCAT(_xlfn.TEXTSPLIT(SUBSTITUTE(SUBSTITUTE(LOWER(Q37),"æ","ae"), " de ", " "),{"b. ","ss. ","s. ","ss.mi ","in ",".",","," et","sanctae ","ę","ũ"})), "")</f>
        <v>blasii episcopi martyris</v>
      </c>
      <c r="K37" s="6">
        <f t="shared" si="8"/>
        <v>7</v>
      </c>
      <c r="L37" s="6" t="str">
        <f t="shared" si="9"/>
        <v>episcopimartyris</v>
      </c>
      <c r="M37" s="6"/>
      <c r="N37" s="1">
        <v>45691</v>
      </c>
      <c r="O37" s="3" t="s">
        <v>471</v>
      </c>
      <c r="P37" s="4" t="s">
        <v>9</v>
      </c>
      <c r="Q37" s="2" t="s">
        <v>28</v>
      </c>
      <c r="R37" s="9" t="s">
        <v>608</v>
      </c>
      <c r="S37" s="2" t="s">
        <v>111</v>
      </c>
    </row>
    <row r="38" spans="1:19" ht="14.4" customHeight="1" x14ac:dyDescent="0.3">
      <c r="A38" s="7" t="str">
        <f t="shared" si="0"/>
        <v>fix.0203.121.ansep</v>
      </c>
      <c r="B38" s="7" t="str">
        <f t="shared" si="3"/>
        <v>121</v>
      </c>
      <c r="C38" s="8" t="str">
        <f t="shared" si="4"/>
        <v>S. Ansgarii, episcopi</v>
      </c>
      <c r="D38" s="8" t="str">
        <f t="shared" si="1"/>
        <v>St. Ansgar, Bishop</v>
      </c>
      <c r="E38" s="8" t="str">
        <f t="shared" si="2"/>
        <v>성 안스가리오 주교</v>
      </c>
      <c r="F38" s="7" t="s">
        <v>578</v>
      </c>
      <c r="G38" s="7" t="str">
        <f t="shared" si="5"/>
        <v>0203</v>
      </c>
      <c r="H38" s="7" t="str">
        <f t="shared" si="6"/>
        <v>121</v>
      </c>
      <c r="I38" s="7" t="str">
        <f t="shared" si="7"/>
        <v>ansep</v>
      </c>
      <c r="J38" s="6" t="str">
        <f>IFERROR(_xlfn.CONCAT(_xlfn.TEXTSPLIT(SUBSTITUTE(SUBSTITUTE(LOWER(Q38),"æ","ae"), " de ", " "),{"b. ","ss. ","s. ","ss.mi ","in ",".",","," et","sanctae ","ę","ũ"})), "")</f>
        <v>ansgarii episcopi</v>
      </c>
      <c r="K38" s="6">
        <f t="shared" si="8"/>
        <v>9</v>
      </c>
      <c r="L38" s="6" t="str">
        <f t="shared" si="9"/>
        <v>episcopi</v>
      </c>
      <c r="M38" s="6"/>
      <c r="N38" s="1">
        <v>45691</v>
      </c>
      <c r="O38" s="3" t="s">
        <v>471</v>
      </c>
      <c r="P38" s="4" t="s">
        <v>9</v>
      </c>
      <c r="Q38" s="2" t="s">
        <v>29</v>
      </c>
      <c r="R38" s="9" t="s">
        <v>609</v>
      </c>
      <c r="S38" s="2" t="s">
        <v>112</v>
      </c>
    </row>
    <row r="39" spans="1:19" ht="14.4" customHeight="1" x14ac:dyDescent="0.3">
      <c r="A39" s="7" t="str">
        <f t="shared" si="0"/>
        <v/>
      </c>
      <c r="B39" s="7" t="str">
        <f t="shared" si="3"/>
        <v/>
      </c>
      <c r="C39" s="8" t="str">
        <f t="shared" si="4"/>
        <v/>
      </c>
      <c r="D39" s="8" t="str">
        <f t="shared" si="1"/>
        <v/>
      </c>
      <c r="E39" s="8" t="str">
        <f t="shared" si="2"/>
        <v/>
      </c>
      <c r="F39" s="7" t="s">
        <v>578</v>
      </c>
      <c r="G39" s="7" t="str">
        <f t="shared" si="5"/>
        <v>0204</v>
      </c>
      <c r="H39" s="7" t="str">
        <f t="shared" si="6"/>
        <v/>
      </c>
      <c r="I39" s="7" t="str">
        <f t="shared" si="7"/>
        <v/>
      </c>
      <c r="J39" s="6" t="str">
        <f>IFERROR(_xlfn.CONCAT(_xlfn.TEXTSPLIT(SUBSTITUTE(SUBSTITUTE(LOWER(Q39),"æ","ae"), " de ", " "),{"b. ","ss. ","s. ","ss.mi ","in ",".",","," et","sanctae ","ę","ũ"})), "")</f>
        <v/>
      </c>
      <c r="K39" s="6" t="str">
        <f t="shared" si="8"/>
        <v/>
      </c>
      <c r="L39" s="6" t="str">
        <f t="shared" si="9"/>
        <v/>
      </c>
      <c r="M39" s="6"/>
      <c r="N39" s="1">
        <v>45692</v>
      </c>
    </row>
    <row r="40" spans="1:19" ht="14.4" customHeight="1" x14ac:dyDescent="0.3">
      <c r="A40" s="7" t="str">
        <f t="shared" si="0"/>
        <v>fix.0205.101.agavi</v>
      </c>
      <c r="B40" s="7" t="str">
        <f t="shared" si="3"/>
        <v>101</v>
      </c>
      <c r="C40" s="8" t="str">
        <f t="shared" si="4"/>
        <v>S. Agathæ, virginis et martyris</v>
      </c>
      <c r="D40" s="8" t="str">
        <f t="shared" si="1"/>
        <v>St. Agatha, Virgin and Martyr</v>
      </c>
      <c r="E40" s="8" t="str">
        <f t="shared" si="2"/>
        <v>성녀 아가타 동정 순교자 기념일</v>
      </c>
      <c r="F40" s="7" t="s">
        <v>578</v>
      </c>
      <c r="G40" s="7" t="str">
        <f t="shared" si="5"/>
        <v>0205</v>
      </c>
      <c r="H40" s="7" t="str">
        <f t="shared" si="6"/>
        <v>101</v>
      </c>
      <c r="I40" s="7" t="str">
        <f t="shared" si="7"/>
        <v>agavi</v>
      </c>
      <c r="J40" s="6" t="str">
        <f>IFERROR(_xlfn.CONCAT(_xlfn.TEXTSPLIT(SUBSTITUTE(SUBSTITUTE(LOWER(Q40),"æ","ae"), " de ", " "),{"b. ","ss. ","s. ","ss.mi ","in ",".",","," et","sanctae ","ę","ũ"})), "")</f>
        <v>agathae virginis martyris</v>
      </c>
      <c r="K40" s="6">
        <f t="shared" si="8"/>
        <v>8</v>
      </c>
      <c r="L40" s="6" t="str">
        <f t="shared" si="9"/>
        <v>virginismartyris</v>
      </c>
      <c r="M40" s="6"/>
      <c r="N40" s="1">
        <v>45693</v>
      </c>
      <c r="O40" s="3">
        <v>101</v>
      </c>
      <c r="P40" s="4" t="s">
        <v>8</v>
      </c>
      <c r="Q40" s="2" t="s">
        <v>30</v>
      </c>
      <c r="R40" s="9" t="s">
        <v>610</v>
      </c>
      <c r="S40" s="2" t="s">
        <v>113</v>
      </c>
    </row>
    <row r="41" spans="1:19" ht="14.4" customHeight="1" x14ac:dyDescent="0.3">
      <c r="A41" s="7" t="str">
        <f t="shared" si="0"/>
        <v>fix.0206.101.paumi</v>
      </c>
      <c r="B41" s="7" t="str">
        <f t="shared" si="3"/>
        <v>101</v>
      </c>
      <c r="C41" s="8" t="str">
        <f t="shared" si="4"/>
        <v>Ss. Pauli Miki et sociorum, martyrum</v>
      </c>
      <c r="D41" s="8" t="str">
        <f t="shared" si="1"/>
        <v>St. Paul Miki and Companions, Martyrs</v>
      </c>
      <c r="E41" s="8" t="str">
        <f t="shared" si="2"/>
        <v>성 바오로 미키와 동료 순교자들 기념일</v>
      </c>
      <c r="F41" s="7" t="s">
        <v>578</v>
      </c>
      <c r="G41" s="7" t="str">
        <f t="shared" si="5"/>
        <v>0206</v>
      </c>
      <c r="H41" s="7" t="str">
        <f t="shared" si="6"/>
        <v>101</v>
      </c>
      <c r="I41" s="7" t="str">
        <f t="shared" si="7"/>
        <v>paumi</v>
      </c>
      <c r="J41" s="6" t="str">
        <f>IFERROR(_xlfn.CONCAT(_xlfn.TEXTSPLIT(SUBSTITUTE(SUBSTITUTE(LOWER(Q41),"æ","ae"), " de ", " "),{"b. ","ss. ","s. ","ss.mi ","in ",".",","," et","sanctae ","ę","ũ"})), "")</f>
        <v>pauli miki sociorum martyrum</v>
      </c>
      <c r="K41" s="6">
        <f t="shared" si="8"/>
        <v>6</v>
      </c>
      <c r="L41" s="6" t="str">
        <f t="shared" si="9"/>
        <v>mikisociorummartyrum</v>
      </c>
      <c r="M41" s="6"/>
      <c r="N41" s="1">
        <v>45694</v>
      </c>
      <c r="O41" s="3">
        <v>101</v>
      </c>
      <c r="P41" s="4" t="s">
        <v>8</v>
      </c>
      <c r="Q41" s="2" t="s">
        <v>31</v>
      </c>
      <c r="R41" s="9" t="s">
        <v>611</v>
      </c>
      <c r="S41" s="2" t="s">
        <v>114</v>
      </c>
    </row>
    <row r="42" spans="1:19" ht="14.4" customHeight="1" x14ac:dyDescent="0.3">
      <c r="A42" s="7" t="str">
        <f t="shared" si="0"/>
        <v/>
      </c>
      <c r="B42" s="7" t="str">
        <f t="shared" si="3"/>
        <v/>
      </c>
      <c r="C42" s="8" t="str">
        <f t="shared" si="4"/>
        <v/>
      </c>
      <c r="D42" s="8" t="str">
        <f t="shared" si="1"/>
        <v/>
      </c>
      <c r="E42" s="8" t="str">
        <f t="shared" si="2"/>
        <v/>
      </c>
      <c r="F42" s="7" t="s">
        <v>578</v>
      </c>
      <c r="G42" s="7" t="str">
        <f t="shared" si="5"/>
        <v>0207</v>
      </c>
      <c r="H42" s="7" t="str">
        <f t="shared" si="6"/>
        <v/>
      </c>
      <c r="I42" s="7" t="str">
        <f t="shared" si="7"/>
        <v/>
      </c>
      <c r="J42" s="6" t="str">
        <f>IFERROR(_xlfn.CONCAT(_xlfn.TEXTSPLIT(SUBSTITUTE(SUBSTITUTE(LOWER(Q42),"æ","ae"), " de ", " "),{"b. ","ss. ","s. ","ss.mi ","in ",".",","," et","sanctae ","ę","ũ"})), "")</f>
        <v/>
      </c>
      <c r="K42" s="6" t="str">
        <f t="shared" si="8"/>
        <v/>
      </c>
      <c r="L42" s="6" t="str">
        <f t="shared" si="9"/>
        <v/>
      </c>
      <c r="M42" s="6"/>
      <c r="N42" s="1">
        <v>45695</v>
      </c>
    </row>
    <row r="43" spans="1:19" ht="14.4" customHeight="1" x14ac:dyDescent="0.3">
      <c r="A43" s="7" t="str">
        <f t="shared" si="0"/>
        <v>fix.0208.121.hieem</v>
      </c>
      <c r="B43" s="7" t="str">
        <f t="shared" si="3"/>
        <v>121</v>
      </c>
      <c r="C43" s="8" t="str">
        <f t="shared" si="4"/>
        <v>S. Hieronymi Emiliani</v>
      </c>
      <c r="D43" s="8" t="str">
        <f t="shared" si="1"/>
        <v>St. Jerome Emiliani</v>
      </c>
      <c r="E43" s="8" t="str">
        <f t="shared" si="2"/>
        <v>성 예로니모 에밀리아니</v>
      </c>
      <c r="F43" s="7" t="s">
        <v>578</v>
      </c>
      <c r="G43" s="7" t="str">
        <f t="shared" si="5"/>
        <v>0208</v>
      </c>
      <c r="H43" s="7" t="str">
        <f t="shared" si="6"/>
        <v>121</v>
      </c>
      <c r="I43" s="7" t="str">
        <f t="shared" si="7"/>
        <v>hieem</v>
      </c>
      <c r="J43" s="6" t="str">
        <f>IFERROR(_xlfn.CONCAT(_xlfn.TEXTSPLIT(SUBSTITUTE(SUBSTITUTE(LOWER(Q43),"æ","ae"), " de ", " "),{"b. ","ss. ","s. ","ss.mi ","in ",".",","," et","sanctae ","ę","ũ"})), "")</f>
        <v>hieronymi emiliani</v>
      </c>
      <c r="K43" s="6">
        <f t="shared" si="8"/>
        <v>10</v>
      </c>
      <c r="L43" s="6" t="str">
        <f t="shared" si="9"/>
        <v>emiliani</v>
      </c>
      <c r="M43" s="6"/>
      <c r="N43" s="1">
        <v>45696</v>
      </c>
      <c r="O43" s="3" t="s">
        <v>471</v>
      </c>
      <c r="P43" s="4" t="s">
        <v>9</v>
      </c>
      <c r="Q43" s="2" t="s">
        <v>32</v>
      </c>
      <c r="R43" s="9" t="s">
        <v>612</v>
      </c>
      <c r="S43" s="2" t="s">
        <v>115</v>
      </c>
    </row>
    <row r="44" spans="1:19" ht="14.4" customHeight="1" x14ac:dyDescent="0.3">
      <c r="A44" s="7" t="str">
        <f t="shared" si="0"/>
        <v>fix.0208.121.iosba</v>
      </c>
      <c r="B44" s="7" t="str">
        <f t="shared" si="3"/>
        <v>121</v>
      </c>
      <c r="C44" s="8" t="str">
        <f t="shared" si="4"/>
        <v>S. Iosephinæ Bakhita, virginis</v>
      </c>
      <c r="D44" s="8" t="str">
        <f t="shared" si="1"/>
        <v>St. Josephine Bakhita, Virgin</v>
      </c>
      <c r="E44" s="8" t="str">
        <f t="shared" si="2"/>
        <v>성녀 요세피나 바키타 동정</v>
      </c>
      <c r="F44" s="7" t="s">
        <v>578</v>
      </c>
      <c r="G44" s="7" t="str">
        <f t="shared" si="5"/>
        <v>0208</v>
      </c>
      <c r="H44" s="7" t="str">
        <f t="shared" si="6"/>
        <v>121</v>
      </c>
      <c r="I44" s="7" t="str">
        <f t="shared" si="7"/>
        <v>iosba</v>
      </c>
      <c r="J44" s="6" t="str">
        <f>IFERROR(_xlfn.CONCAT(_xlfn.TEXTSPLIT(SUBSTITUTE(SUBSTITUTE(LOWER(Q44),"æ","ae"), " de ", " "),{"b. ","ss. ","s. ","ss.mi ","in ",".",","," et","sanctae ","ę","ũ"})), "")</f>
        <v>iosephinae bakhita virginis</v>
      </c>
      <c r="K44" s="6">
        <f t="shared" si="8"/>
        <v>11</v>
      </c>
      <c r="L44" s="6" t="str">
        <f t="shared" si="9"/>
        <v>bakhitavirginis</v>
      </c>
      <c r="M44" s="6"/>
      <c r="N44" s="1">
        <v>45696</v>
      </c>
      <c r="O44" s="3" t="s">
        <v>471</v>
      </c>
      <c r="P44" s="4" t="s">
        <v>9</v>
      </c>
      <c r="Q44" s="2" t="s">
        <v>33</v>
      </c>
      <c r="R44" s="9" t="s">
        <v>613</v>
      </c>
      <c r="S44" s="2" t="s">
        <v>116</v>
      </c>
    </row>
    <row r="45" spans="1:19" ht="14.4" customHeight="1" x14ac:dyDescent="0.3">
      <c r="A45" s="7" t="str">
        <f t="shared" si="0"/>
        <v/>
      </c>
      <c r="B45" s="7" t="str">
        <f t="shared" si="3"/>
        <v/>
      </c>
      <c r="C45" s="8" t="str">
        <f t="shared" si="4"/>
        <v/>
      </c>
      <c r="D45" s="8" t="str">
        <f t="shared" si="1"/>
        <v/>
      </c>
      <c r="E45" s="8" t="str">
        <f t="shared" si="2"/>
        <v/>
      </c>
      <c r="F45" s="7" t="s">
        <v>578</v>
      </c>
      <c r="G45" s="7" t="str">
        <f t="shared" si="5"/>
        <v>0209</v>
      </c>
      <c r="H45" s="7" t="str">
        <f t="shared" si="6"/>
        <v/>
      </c>
      <c r="I45" s="7" t="str">
        <f t="shared" si="7"/>
        <v/>
      </c>
      <c r="J45" s="6" t="str">
        <f>IFERROR(_xlfn.CONCAT(_xlfn.TEXTSPLIT(SUBSTITUTE(SUBSTITUTE(LOWER(Q45),"æ","ae"), " de ", " "),{"b. ","ss. ","s. ","ss.mi ","in ",".",","," et","sanctae ","ę","ũ"})), "")</f>
        <v/>
      </c>
      <c r="K45" s="6" t="str">
        <f t="shared" si="8"/>
        <v/>
      </c>
      <c r="L45" s="6" t="str">
        <f t="shared" si="9"/>
        <v/>
      </c>
      <c r="M45" s="6"/>
      <c r="N45" s="1">
        <v>45697</v>
      </c>
    </row>
    <row r="46" spans="1:19" ht="14.4" customHeight="1" x14ac:dyDescent="0.3">
      <c r="A46" s="7" t="str">
        <f t="shared" si="0"/>
        <v>fix.0210.101.schvi</v>
      </c>
      <c r="B46" s="7" t="str">
        <f t="shared" si="3"/>
        <v>101</v>
      </c>
      <c r="C46" s="8" t="str">
        <f t="shared" si="4"/>
        <v>S. Scholasticæ, virginis</v>
      </c>
      <c r="D46" s="8" t="str">
        <f t="shared" si="1"/>
        <v>St. Scholastica, Virgin</v>
      </c>
      <c r="E46" s="8" t="str">
        <f t="shared" si="2"/>
        <v>성녀 스콜라스티카 동정 기념일</v>
      </c>
      <c r="F46" s="7" t="s">
        <v>578</v>
      </c>
      <c r="G46" s="7" t="str">
        <f t="shared" si="5"/>
        <v>0210</v>
      </c>
      <c r="H46" s="7" t="str">
        <f t="shared" si="6"/>
        <v>101</v>
      </c>
      <c r="I46" s="7" t="str">
        <f t="shared" si="7"/>
        <v>schvi</v>
      </c>
      <c r="J46" s="6" t="str">
        <f>IFERROR(_xlfn.CONCAT(_xlfn.TEXTSPLIT(SUBSTITUTE(SUBSTITUTE(LOWER(Q46),"æ","ae"), " de ", " "),{"b. ","ss. ","s. ","ss.mi ","in ",".",","," et","sanctae ","ę","ũ"})), "")</f>
        <v>scholasticae virginis</v>
      </c>
      <c r="K46" s="6">
        <f t="shared" si="8"/>
        <v>13</v>
      </c>
      <c r="L46" s="6" t="str">
        <f t="shared" si="9"/>
        <v>virginis</v>
      </c>
      <c r="M46" s="6"/>
      <c r="N46" s="1">
        <v>45698</v>
      </c>
      <c r="O46" s="3">
        <v>101</v>
      </c>
      <c r="P46" s="4" t="s">
        <v>8</v>
      </c>
      <c r="Q46" s="2" t="s">
        <v>34</v>
      </c>
      <c r="R46" s="9" t="s">
        <v>614</v>
      </c>
      <c r="S46" s="2" t="s">
        <v>117</v>
      </c>
    </row>
    <row r="47" spans="1:19" ht="14.4" customHeight="1" x14ac:dyDescent="0.3">
      <c r="A47" s="7" t="str">
        <f t="shared" si="0"/>
        <v>fix.0211.121.marvi</v>
      </c>
      <c r="B47" s="7" t="str">
        <f t="shared" si="3"/>
        <v>121</v>
      </c>
      <c r="C47" s="8" t="str">
        <f t="shared" si="4"/>
        <v>B. Mariæ Virginis de Lourdes</v>
      </c>
      <c r="D47" s="8" t="str">
        <f t="shared" si="1"/>
        <v>Our Lady of Lourdes</v>
      </c>
      <c r="E47" s="8" t="str">
        <f t="shared" si="2"/>
        <v>루르드의 복되신 동정 마리아</v>
      </c>
      <c r="F47" s="7" t="s">
        <v>578</v>
      </c>
      <c r="G47" s="7" t="str">
        <f t="shared" si="5"/>
        <v>0211</v>
      </c>
      <c r="H47" s="7" t="str">
        <f t="shared" si="6"/>
        <v>121</v>
      </c>
      <c r="I47" s="7" t="str">
        <f t="shared" si="7"/>
        <v>marvi</v>
      </c>
      <c r="J47" s="6" t="str">
        <f>IFERROR(_xlfn.CONCAT(_xlfn.TEXTSPLIT(SUBSTITUTE(SUBSTITUTE(LOWER(Q47),"æ","ae"), " de ", " "),{"b. ","ss. ","s. ","ss.mi ","in ",".",","," et","sanctae ","ę","ũ"})), "")</f>
        <v>mariae virginis lourdes</v>
      </c>
      <c r="K47" s="6">
        <f t="shared" si="8"/>
        <v>7</v>
      </c>
      <c r="L47" s="6" t="str">
        <f t="shared" si="9"/>
        <v>virginislourdes</v>
      </c>
      <c r="M47" s="6"/>
      <c r="N47" s="1">
        <v>45699</v>
      </c>
      <c r="O47" s="3" t="s">
        <v>471</v>
      </c>
      <c r="P47" s="4" t="s">
        <v>9</v>
      </c>
      <c r="Q47" s="2" t="s">
        <v>35</v>
      </c>
      <c r="R47" s="9" t="s">
        <v>615</v>
      </c>
      <c r="S47" s="2" t="s">
        <v>118</v>
      </c>
    </row>
    <row r="48" spans="1:19" ht="14.4" customHeight="1" x14ac:dyDescent="0.3">
      <c r="A48" s="7" t="str">
        <f t="shared" si="0"/>
        <v/>
      </c>
      <c r="B48" s="7" t="str">
        <f t="shared" si="3"/>
        <v/>
      </c>
      <c r="C48" s="8" t="str">
        <f t="shared" si="4"/>
        <v/>
      </c>
      <c r="D48" s="8" t="str">
        <f t="shared" si="1"/>
        <v/>
      </c>
      <c r="E48" s="8" t="str">
        <f t="shared" si="2"/>
        <v/>
      </c>
      <c r="F48" s="7" t="s">
        <v>578</v>
      </c>
      <c r="G48" s="7" t="str">
        <f t="shared" si="5"/>
        <v>0212</v>
      </c>
      <c r="H48" s="7" t="str">
        <f t="shared" si="6"/>
        <v/>
      </c>
      <c r="I48" s="7" t="str">
        <f t="shared" si="7"/>
        <v/>
      </c>
      <c r="J48" s="6" t="str">
        <f>IFERROR(_xlfn.CONCAT(_xlfn.TEXTSPLIT(SUBSTITUTE(SUBSTITUTE(LOWER(Q48),"æ","ae"), " de ", " "),{"b. ","ss. ","s. ","ss.mi ","in ",".",","," et","sanctae ","ę","ũ"})), "")</f>
        <v/>
      </c>
      <c r="K48" s="6" t="str">
        <f t="shared" si="8"/>
        <v/>
      </c>
      <c r="L48" s="6" t="str">
        <f t="shared" si="9"/>
        <v/>
      </c>
      <c r="M48" s="6"/>
      <c r="N48" s="1">
        <v>45700</v>
      </c>
    </row>
    <row r="49" spans="1:23" ht="14.4" customHeight="1" x14ac:dyDescent="0.3">
      <c r="A49" s="7" t="str">
        <f t="shared" si="0"/>
        <v/>
      </c>
      <c r="B49" s="7" t="str">
        <f t="shared" si="3"/>
        <v/>
      </c>
      <c r="C49" s="8" t="str">
        <f t="shared" si="4"/>
        <v/>
      </c>
      <c r="D49" s="8" t="str">
        <f t="shared" si="1"/>
        <v/>
      </c>
      <c r="E49" s="8" t="str">
        <f t="shared" si="2"/>
        <v/>
      </c>
      <c r="F49" s="7" t="s">
        <v>578</v>
      </c>
      <c r="G49" s="7" t="str">
        <f t="shared" si="5"/>
        <v>0213</v>
      </c>
      <c r="H49" s="7" t="str">
        <f t="shared" si="6"/>
        <v/>
      </c>
      <c r="I49" s="7" t="str">
        <f t="shared" si="7"/>
        <v/>
      </c>
      <c r="J49" s="6" t="str">
        <f>IFERROR(_xlfn.CONCAT(_xlfn.TEXTSPLIT(SUBSTITUTE(SUBSTITUTE(LOWER(Q49),"æ","ae"), " de ", " "),{"b. ","ss. ","s. ","ss.mi ","in ",".",","," et","sanctae ","ę","ũ"})), "")</f>
        <v/>
      </c>
      <c r="K49" s="6" t="str">
        <f t="shared" si="8"/>
        <v/>
      </c>
      <c r="L49" s="6" t="str">
        <f t="shared" si="9"/>
        <v/>
      </c>
      <c r="M49" s="6"/>
      <c r="N49" s="1">
        <v>45701</v>
      </c>
    </row>
    <row r="50" spans="1:23" ht="14.4" customHeight="1" x14ac:dyDescent="0.3">
      <c r="A50" s="7" t="str">
        <f t="shared" si="0"/>
        <v>fix.0214.101.cyrmo</v>
      </c>
      <c r="B50" s="7" t="str">
        <f t="shared" si="3"/>
        <v>101</v>
      </c>
      <c r="C50" s="8" t="str">
        <f t="shared" si="4"/>
        <v>Ss. Cyrilli, monachi, et Methodii, episcopi</v>
      </c>
      <c r="D50" s="8" t="str">
        <f t="shared" si="1"/>
        <v>Sts. Cyril, Monk, and Methodius, Bishop</v>
      </c>
      <c r="E50" s="8" t="str">
        <f t="shared" si="2"/>
        <v>성 치릴로 수도자와 성 메토디오 주교 기념일</v>
      </c>
      <c r="F50" s="7" t="s">
        <v>578</v>
      </c>
      <c r="G50" s="7" t="str">
        <f t="shared" si="5"/>
        <v>0214</v>
      </c>
      <c r="H50" s="7" t="str">
        <f t="shared" si="6"/>
        <v>101</v>
      </c>
      <c r="I50" s="7" t="str">
        <f t="shared" si="7"/>
        <v>cyrmo</v>
      </c>
      <c r="J50" s="6" t="str">
        <f>IFERROR(_xlfn.CONCAT(_xlfn.TEXTSPLIT(SUBSTITUTE(SUBSTITUTE(LOWER(Q50),"æ","ae"), " de ", " "),{"b. ","ss. ","s. ","ss.mi ","in ",".",","," et","sanctae ","ę","ũ"})), "")</f>
        <v>cyrilli monachi methodii episcopi</v>
      </c>
      <c r="K50" s="6">
        <f t="shared" si="8"/>
        <v>8</v>
      </c>
      <c r="L50" s="6" t="str">
        <f t="shared" si="9"/>
        <v>monachimethodiiepiscopi</v>
      </c>
      <c r="M50" s="6"/>
      <c r="N50" s="1">
        <v>45702</v>
      </c>
      <c r="O50" s="3">
        <v>101</v>
      </c>
      <c r="P50" s="4" t="s">
        <v>8</v>
      </c>
      <c r="Q50" s="2" t="s">
        <v>36</v>
      </c>
      <c r="R50" s="9" t="s">
        <v>616</v>
      </c>
      <c r="S50" s="2" t="s">
        <v>119</v>
      </c>
    </row>
    <row r="51" spans="1:23" ht="14.4" customHeight="1" x14ac:dyDescent="0.3">
      <c r="A51" s="7" t="str">
        <f t="shared" si="0"/>
        <v/>
      </c>
      <c r="B51" s="7" t="str">
        <f t="shared" si="3"/>
        <v/>
      </c>
      <c r="C51" s="8" t="str">
        <f t="shared" si="4"/>
        <v/>
      </c>
      <c r="D51" s="8" t="str">
        <f t="shared" si="1"/>
        <v/>
      </c>
      <c r="E51" s="8" t="str">
        <f t="shared" si="2"/>
        <v/>
      </c>
      <c r="F51" s="7" t="s">
        <v>578</v>
      </c>
      <c r="G51" s="7" t="str">
        <f t="shared" si="5"/>
        <v>0215</v>
      </c>
      <c r="H51" s="7" t="str">
        <f t="shared" si="6"/>
        <v/>
      </c>
      <c r="I51" s="7" t="str">
        <f t="shared" si="7"/>
        <v/>
      </c>
      <c r="J51" s="6" t="str">
        <f>IFERROR(_xlfn.CONCAT(_xlfn.TEXTSPLIT(SUBSTITUTE(SUBSTITUTE(LOWER(Q51),"æ","ae"), " de ", " "),{"b. ","ss. ","s. ","ss.mi ","in ",".",","," et","sanctae ","ę","ũ"})), "")</f>
        <v/>
      </c>
      <c r="K51" s="6" t="str">
        <f t="shared" si="8"/>
        <v/>
      </c>
      <c r="L51" s="6" t="str">
        <f t="shared" si="9"/>
        <v/>
      </c>
      <c r="M51" s="6"/>
      <c r="N51" s="1">
        <v>45703</v>
      </c>
    </row>
    <row r="52" spans="1:23" ht="14.4" customHeight="1" x14ac:dyDescent="0.3">
      <c r="A52" s="7" t="str">
        <f t="shared" si="0"/>
        <v/>
      </c>
      <c r="B52" s="7" t="str">
        <f t="shared" si="3"/>
        <v/>
      </c>
      <c r="C52" s="8" t="str">
        <f t="shared" si="4"/>
        <v/>
      </c>
      <c r="D52" s="8" t="str">
        <f t="shared" si="1"/>
        <v/>
      </c>
      <c r="E52" s="8" t="str">
        <f t="shared" si="2"/>
        <v/>
      </c>
      <c r="F52" s="7" t="s">
        <v>578</v>
      </c>
      <c r="G52" s="7" t="str">
        <f t="shared" si="5"/>
        <v>0216</v>
      </c>
      <c r="H52" s="7" t="str">
        <f t="shared" si="6"/>
        <v/>
      </c>
      <c r="I52" s="7" t="str">
        <f t="shared" si="7"/>
        <v/>
      </c>
      <c r="J52" s="6" t="str">
        <f>IFERROR(_xlfn.CONCAT(_xlfn.TEXTSPLIT(SUBSTITUTE(SUBSTITUTE(LOWER(Q52),"æ","ae"), " de ", " "),{"b. ","ss. ","s. ","ss.mi ","in ",".",","," et","sanctae ","ę","ũ"})), "")</f>
        <v/>
      </c>
      <c r="K52" s="6" t="str">
        <f t="shared" si="8"/>
        <v/>
      </c>
      <c r="L52" s="6" t="str">
        <f t="shared" si="9"/>
        <v/>
      </c>
      <c r="M52" s="6"/>
      <c r="N52" s="1">
        <v>45704</v>
      </c>
    </row>
    <row r="53" spans="1:23" ht="14.4" customHeight="1" x14ac:dyDescent="0.3">
      <c r="A53" s="7" t="str">
        <f t="shared" si="0"/>
        <v>fix.0217.121.sepfu</v>
      </c>
      <c r="B53" s="7" t="str">
        <f t="shared" si="3"/>
        <v>121</v>
      </c>
      <c r="C53" s="8" t="str">
        <f t="shared" si="4"/>
        <v>Ss. septem Fundatorum Ordinis Servorum</v>
      </c>
      <c r="D53" s="8" t="str">
        <f t="shared" si="1"/>
        <v>The Seven Holy Founders of the Servite Order</v>
      </c>
      <c r="E53" s="8" t="str">
        <f t="shared" si="2"/>
        <v>마리아의 종 수도회 창설자 7성인</v>
      </c>
      <c r="F53" s="7" t="s">
        <v>578</v>
      </c>
      <c r="G53" s="7" t="str">
        <f t="shared" si="5"/>
        <v>0217</v>
      </c>
      <c r="H53" s="7" t="str">
        <f t="shared" si="6"/>
        <v>121</v>
      </c>
      <c r="I53" s="7" t="str">
        <f t="shared" si="7"/>
        <v>sepfu</v>
      </c>
      <c r="J53" s="6" t="str">
        <f>IFERROR(_xlfn.CONCAT(_xlfn.TEXTSPLIT(SUBSTITUTE(SUBSTITUTE(LOWER(Q53),"æ","ae"), " de ", " "),{"b. ","ss. ","s. ","ss.mi ","in ",".",","," et","sanctae ","ę","ũ"})), "")</f>
        <v>septem fundatorum ordinis servorum</v>
      </c>
      <c r="K53" s="6">
        <f t="shared" si="8"/>
        <v>7</v>
      </c>
      <c r="L53" s="6" t="str">
        <f t="shared" si="9"/>
        <v>fundatorumordinisservorum</v>
      </c>
      <c r="M53" s="6"/>
      <c r="N53" s="1">
        <v>45705</v>
      </c>
      <c r="O53" s="3" t="s">
        <v>471</v>
      </c>
      <c r="P53" s="4" t="s">
        <v>9</v>
      </c>
      <c r="Q53" s="2" t="s">
        <v>37</v>
      </c>
      <c r="R53" s="9" t="s">
        <v>617</v>
      </c>
      <c r="S53" s="2" t="s">
        <v>120</v>
      </c>
    </row>
    <row r="54" spans="1:23" ht="14.4" customHeight="1" x14ac:dyDescent="0.3">
      <c r="A54" s="7" t="str">
        <f t="shared" si="0"/>
        <v/>
      </c>
      <c r="B54" s="7" t="str">
        <f t="shared" si="3"/>
        <v/>
      </c>
      <c r="C54" s="8" t="str">
        <f t="shared" si="4"/>
        <v/>
      </c>
      <c r="D54" s="8" t="str">
        <f t="shared" si="1"/>
        <v/>
      </c>
      <c r="E54" s="8" t="str">
        <f t="shared" si="2"/>
        <v/>
      </c>
      <c r="F54" s="7" t="s">
        <v>578</v>
      </c>
      <c r="G54" s="7" t="str">
        <f t="shared" si="5"/>
        <v>0218</v>
      </c>
      <c r="H54" s="7" t="str">
        <f t="shared" si="6"/>
        <v/>
      </c>
      <c r="I54" s="7" t="str">
        <f t="shared" si="7"/>
        <v/>
      </c>
      <c r="J54" s="6" t="str">
        <f>IFERROR(_xlfn.CONCAT(_xlfn.TEXTSPLIT(SUBSTITUTE(SUBSTITUTE(LOWER(Q54),"æ","ae"), " de ", " "),{"b. ","ss. ","s. ","ss.mi ","in ",".",","," et","sanctae ","ę","ũ"})), "")</f>
        <v/>
      </c>
      <c r="K54" s="6" t="str">
        <f t="shared" si="8"/>
        <v/>
      </c>
      <c r="L54" s="6" t="str">
        <f t="shared" si="9"/>
        <v/>
      </c>
      <c r="M54" s="6"/>
      <c r="N54" s="1">
        <v>45706</v>
      </c>
    </row>
    <row r="55" spans="1:23" ht="14.4" customHeight="1" x14ac:dyDescent="0.3">
      <c r="A55" s="7" t="str">
        <f t="shared" si="0"/>
        <v/>
      </c>
      <c r="B55" s="7" t="str">
        <f t="shared" si="3"/>
        <v/>
      </c>
      <c r="C55" s="8" t="str">
        <f t="shared" si="4"/>
        <v/>
      </c>
      <c r="D55" s="8" t="str">
        <f t="shared" si="1"/>
        <v/>
      </c>
      <c r="E55" s="8" t="str">
        <f t="shared" si="2"/>
        <v/>
      </c>
      <c r="F55" s="7" t="s">
        <v>578</v>
      </c>
      <c r="G55" s="7" t="str">
        <f t="shared" si="5"/>
        <v>0219</v>
      </c>
      <c r="H55" s="7" t="str">
        <f t="shared" si="6"/>
        <v/>
      </c>
      <c r="I55" s="7" t="str">
        <f t="shared" si="7"/>
        <v/>
      </c>
      <c r="J55" s="6" t="str">
        <f>IFERROR(_xlfn.CONCAT(_xlfn.TEXTSPLIT(SUBSTITUTE(SUBSTITUTE(LOWER(Q55),"æ","ae"), " de ", " "),{"b. ","ss. ","s. ","ss.mi ","in ",".",","," et","sanctae ","ę","ũ"})), "")</f>
        <v/>
      </c>
      <c r="K55" s="6" t="str">
        <f t="shared" si="8"/>
        <v/>
      </c>
      <c r="L55" s="6" t="str">
        <f t="shared" si="9"/>
        <v/>
      </c>
      <c r="M55" s="6"/>
      <c r="N55" s="1">
        <v>45707</v>
      </c>
    </row>
    <row r="56" spans="1:23" ht="14.4" customHeight="1" x14ac:dyDescent="0.3">
      <c r="A56" s="7" t="str">
        <f t="shared" si="0"/>
        <v/>
      </c>
      <c r="B56" s="7" t="str">
        <f t="shared" si="3"/>
        <v/>
      </c>
      <c r="C56" s="8" t="str">
        <f t="shared" si="4"/>
        <v/>
      </c>
      <c r="D56" s="8" t="str">
        <f t="shared" si="1"/>
        <v/>
      </c>
      <c r="E56" s="8" t="str">
        <f t="shared" si="2"/>
        <v/>
      </c>
      <c r="F56" s="7" t="s">
        <v>578</v>
      </c>
      <c r="G56" s="7" t="str">
        <f t="shared" si="5"/>
        <v>0220</v>
      </c>
      <c r="H56" s="7" t="str">
        <f t="shared" si="6"/>
        <v/>
      </c>
      <c r="I56" s="7" t="str">
        <f t="shared" si="7"/>
        <v/>
      </c>
      <c r="J56" s="6" t="str">
        <f>IFERROR(_xlfn.CONCAT(_xlfn.TEXTSPLIT(SUBSTITUTE(SUBSTITUTE(LOWER(Q56),"æ","ae"), " de ", " "),{"b. ","ss. ","s. ","ss.mi ","in ",".",","," et","sanctae ","ę","ũ"})), "")</f>
        <v/>
      </c>
      <c r="K56" s="6" t="str">
        <f t="shared" si="8"/>
        <v/>
      </c>
      <c r="L56" s="6" t="str">
        <f t="shared" si="9"/>
        <v/>
      </c>
      <c r="M56" s="6"/>
      <c r="N56" s="1">
        <v>45708</v>
      </c>
    </row>
    <row r="57" spans="1:23" ht="14.4" customHeight="1" x14ac:dyDescent="0.3">
      <c r="A57" s="7" t="str">
        <f t="shared" si="0"/>
        <v>fix.0221.121.petda</v>
      </c>
      <c r="B57" s="7" t="str">
        <f t="shared" si="3"/>
        <v>121</v>
      </c>
      <c r="C57" s="8" t="str">
        <f t="shared" si="4"/>
        <v>S. Petri Damiani, episcopi et Ecclesiæ doctoris</v>
      </c>
      <c r="D57" s="8" t="str">
        <f t="shared" si="1"/>
        <v>St. Peter Damian, Bishop and Doctor of the Church</v>
      </c>
      <c r="E57" s="8" t="str">
        <f t="shared" si="2"/>
        <v>성 베드로 다미아니 주교 학자</v>
      </c>
      <c r="F57" s="7" t="s">
        <v>578</v>
      </c>
      <c r="G57" s="7" t="str">
        <f t="shared" si="5"/>
        <v>0221</v>
      </c>
      <c r="H57" s="7" t="str">
        <f t="shared" si="6"/>
        <v>121</v>
      </c>
      <c r="I57" s="7" t="str">
        <f t="shared" si="7"/>
        <v>petda</v>
      </c>
      <c r="J57" s="6" t="str">
        <f>IFERROR(_xlfn.CONCAT(_xlfn.TEXTSPLIT(SUBSTITUTE(SUBSTITUTE(LOWER(Q57),"æ","ae"), " de ", " "),{"b. ","ss. ","s. ","ss.mi ","in ",".",","," et","sanctae ","ę","ũ"})), "")</f>
        <v>petri damiani episcopi ecclesiae doctoris</v>
      </c>
      <c r="K57" s="6">
        <f t="shared" si="8"/>
        <v>6</v>
      </c>
      <c r="L57" s="6" t="str">
        <f t="shared" si="9"/>
        <v>damianiepiscopiecclesiaedoctoris</v>
      </c>
      <c r="M57" s="6"/>
      <c r="N57" s="1">
        <v>45709</v>
      </c>
      <c r="O57" s="3" t="s">
        <v>471</v>
      </c>
      <c r="P57" s="4" t="s">
        <v>9</v>
      </c>
      <c r="Q57" s="2" t="s">
        <v>38</v>
      </c>
      <c r="R57" s="9" t="s">
        <v>618</v>
      </c>
      <c r="S57" s="2" t="s">
        <v>121</v>
      </c>
    </row>
    <row r="58" spans="1:23" ht="14.4" customHeight="1" x14ac:dyDescent="0.3">
      <c r="A58" s="7" t="str">
        <f t="shared" si="0"/>
        <v>fix.0222.071.catpe</v>
      </c>
      <c r="B58" s="7" t="str">
        <f t="shared" si="3"/>
        <v>071</v>
      </c>
      <c r="C58" s="8" t="str">
        <f t="shared" si="4"/>
        <v>Cathedræ S. Petri, apostoli</v>
      </c>
      <c r="D58" s="8" t="str">
        <f t="shared" si="1"/>
        <v>The Chair of St. Peter the Apostle</v>
      </c>
      <c r="E58" s="8" t="str">
        <f t="shared" si="2"/>
        <v>성 베드로 사도좌 축일</v>
      </c>
      <c r="F58" s="7" t="s">
        <v>578</v>
      </c>
      <c r="G58" s="7" t="str">
        <f t="shared" si="5"/>
        <v>0222</v>
      </c>
      <c r="H58" s="7" t="str">
        <f t="shared" si="6"/>
        <v>071</v>
      </c>
      <c r="I58" s="7" t="str">
        <f t="shared" si="7"/>
        <v>catpe</v>
      </c>
      <c r="J58" s="6" t="str">
        <f>IFERROR(_xlfn.CONCAT(_xlfn.TEXTSPLIT(SUBSTITUTE(SUBSTITUTE(LOWER(Q58),"æ","ae"), " de ", " "),{"b. ","ss. ","s. ","ss.mi ","in ",".",","," et","sanctae ","ę","ũ"})), "")</f>
        <v>cathedrae petri apostoli</v>
      </c>
      <c r="K58" s="6">
        <f t="shared" si="8"/>
        <v>10</v>
      </c>
      <c r="L58" s="6" t="str">
        <f t="shared" si="9"/>
        <v>petriapostoli</v>
      </c>
      <c r="M58" s="6"/>
      <c r="N58" s="1">
        <v>45710</v>
      </c>
      <c r="O58" s="3" t="s">
        <v>463</v>
      </c>
      <c r="P58" s="4" t="s">
        <v>20</v>
      </c>
      <c r="Q58" s="2" t="s">
        <v>39</v>
      </c>
      <c r="R58" s="9" t="s">
        <v>619</v>
      </c>
      <c r="S58" s="2" t="s">
        <v>122</v>
      </c>
    </row>
    <row r="59" spans="1:23" ht="14.4" customHeight="1" x14ac:dyDescent="0.3">
      <c r="A59" s="7" t="str">
        <f t="shared" si="0"/>
        <v>fix.0223.101.polep</v>
      </c>
      <c r="B59" s="7" t="str">
        <f t="shared" si="3"/>
        <v>101</v>
      </c>
      <c r="C59" s="8" t="str">
        <f t="shared" si="4"/>
        <v>S. Polycarpi, episcopi et martyris</v>
      </c>
      <c r="D59" s="8" t="str">
        <f t="shared" si="1"/>
        <v>St. Polycarp, Bishop and Martyr</v>
      </c>
      <c r="E59" s="8" t="str">
        <f t="shared" si="2"/>
        <v>성 폴리카르포 주교 순교자 기념일</v>
      </c>
      <c r="F59" s="7" t="s">
        <v>578</v>
      </c>
      <c r="G59" s="7" t="str">
        <f t="shared" si="5"/>
        <v>0223</v>
      </c>
      <c r="H59" s="7" t="str">
        <f t="shared" si="6"/>
        <v>101</v>
      </c>
      <c r="I59" s="7" t="str">
        <f t="shared" si="7"/>
        <v>polep</v>
      </c>
      <c r="J59" s="6" t="str">
        <f>IFERROR(_xlfn.CONCAT(_xlfn.TEXTSPLIT(SUBSTITUTE(SUBSTITUTE(LOWER(Q59),"æ","ae"), " de ", " "),{"b. ","ss. ","s. ","ss.mi ","in ",".",","," et","sanctae ","ę","ũ"})), "")</f>
        <v>polycarpi episcopi martyris</v>
      </c>
      <c r="K59" s="6">
        <f t="shared" si="8"/>
        <v>10</v>
      </c>
      <c r="L59" s="6" t="str">
        <f t="shared" si="9"/>
        <v>episcopimartyris</v>
      </c>
      <c r="M59" s="6"/>
      <c r="N59" s="1">
        <v>45711</v>
      </c>
      <c r="O59" s="3">
        <v>101</v>
      </c>
      <c r="P59" s="4" t="s">
        <v>8</v>
      </c>
      <c r="Q59" s="2" t="s">
        <v>40</v>
      </c>
      <c r="R59" s="9" t="s">
        <v>620</v>
      </c>
      <c r="S59" s="2" t="s">
        <v>123</v>
      </c>
    </row>
    <row r="60" spans="1:23" ht="14.4" customHeight="1" x14ac:dyDescent="0.3">
      <c r="A60" s="7" t="str">
        <f t="shared" si="0"/>
        <v/>
      </c>
      <c r="B60" s="7" t="str">
        <f t="shared" si="3"/>
        <v/>
      </c>
      <c r="C60" s="8" t="str">
        <f t="shared" si="4"/>
        <v/>
      </c>
      <c r="D60" s="8" t="str">
        <f t="shared" si="1"/>
        <v/>
      </c>
      <c r="E60" s="8" t="str">
        <f t="shared" si="2"/>
        <v/>
      </c>
      <c r="F60" s="7" t="s">
        <v>578</v>
      </c>
      <c r="G60" s="7" t="str">
        <f t="shared" si="5"/>
        <v>0224</v>
      </c>
      <c r="H60" s="7" t="str">
        <f t="shared" si="6"/>
        <v/>
      </c>
      <c r="I60" s="7" t="str">
        <f t="shared" si="7"/>
        <v/>
      </c>
      <c r="J60" s="6" t="str">
        <f>IFERROR(_xlfn.CONCAT(_xlfn.TEXTSPLIT(SUBSTITUTE(SUBSTITUTE(LOWER(Q60),"æ","ae"), " de ", " "),{"b. ","ss. ","s. ","ss.mi ","in ",".",","," et","sanctae ","ę","ũ"})), "")</f>
        <v/>
      </c>
      <c r="K60" s="6" t="str">
        <f t="shared" si="8"/>
        <v/>
      </c>
      <c r="L60" s="6" t="str">
        <f t="shared" si="9"/>
        <v/>
      </c>
      <c r="M60" s="6"/>
      <c r="N60" s="1">
        <v>45712</v>
      </c>
    </row>
    <row r="61" spans="1:23" ht="14.4" customHeight="1" x14ac:dyDescent="0.3">
      <c r="A61" s="7" t="str">
        <f t="shared" si="0"/>
        <v/>
      </c>
      <c r="B61" s="7" t="str">
        <f t="shared" si="3"/>
        <v/>
      </c>
      <c r="C61" s="8" t="str">
        <f t="shared" si="4"/>
        <v/>
      </c>
      <c r="D61" s="8" t="str">
        <f t="shared" si="1"/>
        <v/>
      </c>
      <c r="E61" s="8" t="str">
        <f t="shared" si="2"/>
        <v/>
      </c>
      <c r="F61" s="7" t="s">
        <v>578</v>
      </c>
      <c r="G61" s="7" t="str">
        <f t="shared" si="5"/>
        <v>0225</v>
      </c>
      <c r="H61" s="7" t="str">
        <f t="shared" si="6"/>
        <v/>
      </c>
      <c r="I61" s="7" t="str">
        <f t="shared" si="7"/>
        <v/>
      </c>
      <c r="J61" s="6" t="str">
        <f>IFERROR(_xlfn.CONCAT(_xlfn.TEXTSPLIT(SUBSTITUTE(SUBSTITUTE(LOWER(Q61),"æ","ae"), " de ", " "),{"b. ","ss. ","s. ","ss.mi ","in ",".",","," et","sanctae ","ę","ũ"})), "")</f>
        <v/>
      </c>
      <c r="K61" s="6" t="str">
        <f t="shared" si="8"/>
        <v/>
      </c>
      <c r="L61" s="6" t="str">
        <f t="shared" si="9"/>
        <v/>
      </c>
      <c r="M61" s="6"/>
      <c r="N61" s="1">
        <v>45713</v>
      </c>
    </row>
    <row r="62" spans="1:23" ht="14.4" customHeight="1" x14ac:dyDescent="0.3">
      <c r="A62" s="7" t="str">
        <f t="shared" si="0"/>
        <v/>
      </c>
      <c r="B62" s="7" t="str">
        <f t="shared" si="3"/>
        <v/>
      </c>
      <c r="C62" s="8" t="str">
        <f t="shared" si="4"/>
        <v/>
      </c>
      <c r="D62" s="8" t="str">
        <f t="shared" si="1"/>
        <v/>
      </c>
      <c r="E62" s="8" t="str">
        <f t="shared" si="2"/>
        <v/>
      </c>
      <c r="F62" s="7" t="s">
        <v>578</v>
      </c>
      <c r="G62" s="7" t="str">
        <f t="shared" si="5"/>
        <v>0226</v>
      </c>
      <c r="H62" s="7" t="str">
        <f t="shared" si="6"/>
        <v/>
      </c>
      <c r="I62" s="7" t="str">
        <f t="shared" si="7"/>
        <v/>
      </c>
      <c r="J62" s="6" t="str">
        <f>IFERROR(_xlfn.CONCAT(_xlfn.TEXTSPLIT(SUBSTITUTE(SUBSTITUTE(LOWER(Q62),"æ","ae"), " de ", " "),{"b. ","ss. ","s. ","ss.mi ","in ",".",","," et","sanctae ","ę","ũ"})), "")</f>
        <v/>
      </c>
      <c r="K62" s="6" t="str">
        <f t="shared" si="8"/>
        <v/>
      </c>
      <c r="L62" s="6" t="str">
        <f t="shared" si="9"/>
        <v/>
      </c>
      <c r="M62" s="6"/>
      <c r="N62" s="1">
        <v>45714</v>
      </c>
      <c r="W62" s="3"/>
    </row>
    <row r="63" spans="1:23" ht="14.4" customHeight="1" x14ac:dyDescent="0.3">
      <c r="A63" s="7" t="str">
        <f t="shared" si="0"/>
        <v>fix.0227.121.grena</v>
      </c>
      <c r="B63" s="7" t="str">
        <f t="shared" si="3"/>
        <v>121</v>
      </c>
      <c r="C63" s="8" t="str">
        <f t="shared" si="4"/>
        <v>S. Gregorii Narecensis, abbatis et Ecclesiæ doctoris</v>
      </c>
      <c r="D63" s="8" t="str">
        <f t="shared" si="1"/>
        <v/>
      </c>
      <c r="E63" s="8" t="str">
        <f t="shared" si="2"/>
        <v>나렉의 성 그레고리오 아빠스 학자</v>
      </c>
      <c r="F63" s="7" t="s">
        <v>578</v>
      </c>
      <c r="G63" s="7" t="str">
        <f t="shared" si="5"/>
        <v>0227</v>
      </c>
      <c r="H63" s="7" t="str">
        <f t="shared" si="6"/>
        <v>121</v>
      </c>
      <c r="I63" s="7" t="str">
        <f t="shared" si="7"/>
        <v>grena</v>
      </c>
      <c r="J63" s="6" t="str">
        <f>IFERROR(_xlfn.CONCAT(_xlfn.TEXTSPLIT(SUBSTITUTE(SUBSTITUTE(LOWER(Q63),"æ","ae"), " de ", " "),{"b. ","ss. ","s. ","ss.mi ","in ",".",","," et","sanctae ","ę","ũ"})), "")</f>
        <v>gregorii narecensis abbatis ecclesiae doctoris</v>
      </c>
      <c r="K63" s="6">
        <f t="shared" si="8"/>
        <v>9</v>
      </c>
      <c r="L63" s="6" t="str">
        <f t="shared" si="9"/>
        <v>narecensisabbatisecclesiaedoctoris</v>
      </c>
      <c r="M63" s="6"/>
      <c r="N63" s="1">
        <v>45715</v>
      </c>
      <c r="O63" s="3" t="s">
        <v>471</v>
      </c>
      <c r="P63" s="4" t="s">
        <v>9</v>
      </c>
      <c r="Q63" s="2" t="s">
        <v>433</v>
      </c>
      <c r="S63" s="2" t="s">
        <v>451</v>
      </c>
      <c r="T63" t="s">
        <v>434</v>
      </c>
      <c r="W63" s="3"/>
    </row>
    <row r="64" spans="1:23" ht="14.4" customHeight="1" x14ac:dyDescent="0.3">
      <c r="A64" s="7" t="str">
        <f t="shared" si="0"/>
        <v/>
      </c>
      <c r="B64" s="7" t="str">
        <f t="shared" si="3"/>
        <v/>
      </c>
      <c r="C64" s="8" t="str">
        <f t="shared" si="4"/>
        <v/>
      </c>
      <c r="D64" s="8" t="str">
        <f t="shared" si="1"/>
        <v/>
      </c>
      <c r="E64" s="8" t="str">
        <f t="shared" si="2"/>
        <v/>
      </c>
      <c r="F64" s="7" t="s">
        <v>578</v>
      </c>
      <c r="G64" s="7" t="str">
        <f t="shared" si="5"/>
        <v>0228</v>
      </c>
      <c r="H64" s="7" t="str">
        <f t="shared" si="6"/>
        <v/>
      </c>
      <c r="I64" s="7" t="str">
        <f t="shared" si="7"/>
        <v/>
      </c>
      <c r="J64" s="6" t="str">
        <f>IFERROR(_xlfn.CONCAT(_xlfn.TEXTSPLIT(SUBSTITUTE(SUBSTITUTE(LOWER(Q64),"æ","ae"), " de ", " "),{"b. ","ss. ","s. ","ss.mi ","in ",".",","," et","sanctae ","ę","ũ"})), "")</f>
        <v/>
      </c>
      <c r="K64" s="6" t="str">
        <f t="shared" si="8"/>
        <v/>
      </c>
      <c r="L64" s="6" t="str">
        <f t="shared" si="9"/>
        <v/>
      </c>
      <c r="M64" s="6"/>
      <c r="N64" s="1">
        <v>45716</v>
      </c>
      <c r="W64" s="3"/>
    </row>
    <row r="65" spans="1:23" ht="14.4" customHeight="1" x14ac:dyDescent="0.3">
      <c r="A65" s="7" t="str">
        <f t="shared" si="0"/>
        <v/>
      </c>
      <c r="B65" s="7" t="str">
        <f t="shared" si="3"/>
        <v/>
      </c>
      <c r="C65" s="8" t="str">
        <f t="shared" si="4"/>
        <v/>
      </c>
      <c r="D65" s="8" t="str">
        <f t="shared" si="1"/>
        <v/>
      </c>
      <c r="E65" s="8" t="str">
        <f t="shared" si="2"/>
        <v/>
      </c>
      <c r="F65" s="7" t="s">
        <v>578</v>
      </c>
      <c r="G65" s="7" t="str">
        <f t="shared" si="5"/>
        <v>0301</v>
      </c>
      <c r="H65" s="7" t="str">
        <f t="shared" si="6"/>
        <v/>
      </c>
      <c r="I65" s="7" t="str">
        <f t="shared" si="7"/>
        <v/>
      </c>
      <c r="J65" s="6" t="str">
        <f>IFERROR(_xlfn.CONCAT(_xlfn.TEXTSPLIT(SUBSTITUTE(SUBSTITUTE(LOWER(Q65),"æ","ae"), " de ", " "),{"b. ","ss. ","s. ","ss.mi ","in ",".",","," et","sanctae ","ę","ũ"})), "")</f>
        <v/>
      </c>
      <c r="K65" s="6" t="str">
        <f t="shared" si="8"/>
        <v/>
      </c>
      <c r="L65" s="6" t="str">
        <f t="shared" si="9"/>
        <v/>
      </c>
      <c r="M65" s="6"/>
      <c r="N65" s="1">
        <v>45717</v>
      </c>
      <c r="W65" s="3"/>
    </row>
    <row r="66" spans="1:23" ht="14.4" customHeight="1" x14ac:dyDescent="0.3">
      <c r="A66" s="7" t="str">
        <f t="shared" si="0"/>
        <v/>
      </c>
      <c r="B66" s="7" t="str">
        <f t="shared" si="3"/>
        <v/>
      </c>
      <c r="C66" s="8" t="str">
        <f t="shared" si="4"/>
        <v/>
      </c>
      <c r="D66" s="8" t="str">
        <f t="shared" si="1"/>
        <v/>
      </c>
      <c r="E66" s="8" t="str">
        <f t="shared" si="2"/>
        <v/>
      </c>
      <c r="F66" s="7" t="s">
        <v>578</v>
      </c>
      <c r="G66" s="7" t="str">
        <f t="shared" si="5"/>
        <v>0302</v>
      </c>
      <c r="H66" s="7" t="str">
        <f t="shared" si="6"/>
        <v/>
      </c>
      <c r="I66" s="7" t="str">
        <f t="shared" si="7"/>
        <v/>
      </c>
      <c r="J66" s="6" t="str">
        <f>IFERROR(_xlfn.CONCAT(_xlfn.TEXTSPLIT(SUBSTITUTE(SUBSTITUTE(LOWER(Q66),"æ","ae"), " de ", " "),{"b. ","ss. ","s. ","ss.mi ","in ",".",","," et","sanctae ","ę","ũ"})), "")</f>
        <v/>
      </c>
      <c r="K66" s="6" t="str">
        <f t="shared" si="8"/>
        <v/>
      </c>
      <c r="L66" s="6" t="str">
        <f t="shared" si="9"/>
        <v/>
      </c>
      <c r="M66" s="6"/>
      <c r="N66" s="1">
        <v>45718</v>
      </c>
    </row>
    <row r="67" spans="1:23" ht="14.4" customHeight="1" x14ac:dyDescent="0.3">
      <c r="A67" s="7" t="str">
        <f t="shared" ref="A67:A130" si="12">IF(OR(F67="",G67="",H67="",I67=""),"",_xlfn.CONCAT(F67,".",G67,".",H67,".",I67))</f>
        <v/>
      </c>
      <c r="B67" s="7" t="str">
        <f t="shared" si="3"/>
        <v/>
      </c>
      <c r="C67" s="8" t="str">
        <f t="shared" si="4"/>
        <v/>
      </c>
      <c r="D67" s="8" t="str">
        <f t="shared" si="4"/>
        <v/>
      </c>
      <c r="E67" s="8" t="str">
        <f t="shared" si="2"/>
        <v/>
      </c>
      <c r="F67" s="7" t="s">
        <v>578</v>
      </c>
      <c r="G67" s="7" t="str">
        <f t="shared" si="5"/>
        <v>0303</v>
      </c>
      <c r="H67" s="7" t="str">
        <f t="shared" si="6"/>
        <v/>
      </c>
      <c r="I67" s="7" t="str">
        <f t="shared" si="7"/>
        <v/>
      </c>
      <c r="J67" s="6" t="str">
        <f>IFERROR(_xlfn.CONCAT(_xlfn.TEXTSPLIT(SUBSTITUTE(SUBSTITUTE(LOWER(Q67),"æ","ae"), " de ", " "),{"b. ","ss. ","s. ","ss.mi ","in ",".",","," et","sanctae ","ę","ũ"})), "")</f>
        <v/>
      </c>
      <c r="K67" s="6" t="str">
        <f t="shared" si="8"/>
        <v/>
      </c>
      <c r="L67" s="6" t="str">
        <f t="shared" si="9"/>
        <v/>
      </c>
      <c r="M67" s="6"/>
      <c r="N67" s="1">
        <v>45719</v>
      </c>
    </row>
    <row r="68" spans="1:23" ht="14.4" customHeight="1" x14ac:dyDescent="0.3">
      <c r="A68" s="7" t="str">
        <f t="shared" si="12"/>
        <v>fix.0304.121.casim</v>
      </c>
      <c r="B68" s="7" t="str">
        <f t="shared" ref="B68:B131" si="13">IF(O68="","",TEXT(O68,"0##"))</f>
        <v>121</v>
      </c>
      <c r="C68" s="8" t="str">
        <f t="shared" ref="C68:D131" si="14">IF(Q68="","",TEXT(Q68,""))</f>
        <v>S. Casimiri</v>
      </c>
      <c r="D68" s="8" t="str">
        <f t="shared" si="14"/>
        <v>St. Casimir</v>
      </c>
      <c r="E68" s="8" t="str">
        <f t="shared" ref="E68:E131" si="15">IF(S68="","",TEXT(S68,""))</f>
        <v>성 가시미로</v>
      </c>
      <c r="F68" s="7" t="s">
        <v>578</v>
      </c>
      <c r="G68" s="7" t="str">
        <f t="shared" ref="G68:G131" si="16">TEXT(N68, "mmdd")</f>
        <v>0304</v>
      </c>
      <c r="H68" s="7" t="str">
        <f t="shared" ref="H68:H131" si="17">IF(ISBLANK(O68), "", TEXT(O68, "0##"))</f>
        <v>121</v>
      </c>
      <c r="I68" s="7" t="str">
        <f t="shared" ref="I68:I131" si="18">IF(J68="","",IF(K68="",LEFT(J68,5),IF(K68&lt;4,_xlfn.CONCAT(LEFT(J68,K68-1),LEFT(L68,5-K68+1)),_xlfn.CONCAT(LEFT(J68,3),LEFT(L68,2)))))</f>
        <v>casim</v>
      </c>
      <c r="J68" s="6" t="str">
        <f>IFERROR(_xlfn.CONCAT(_xlfn.TEXTSPLIT(SUBSTITUTE(SUBSTITUTE(LOWER(Q68),"æ","ae"), " de ", " "),{"b. ","ss. ","s. ","ss.mi ","in ",".",","," et","sanctae ","ę","ũ"})), "")</f>
        <v>casimiri</v>
      </c>
      <c r="K68" s="6" t="str">
        <f t="shared" ref="K68:K131" si="19">IFERROR(FIND(" ", J68), "")</f>
        <v/>
      </c>
      <c r="L68" s="6" t="str">
        <f t="shared" ref="L68:L131" si="20">SUBSTITUTE(IFERROR(RIGHT(J68, LEN(J68)-K68), ""), " ", "")</f>
        <v/>
      </c>
      <c r="M68" s="6"/>
      <c r="N68" s="1">
        <v>45720</v>
      </c>
      <c r="O68" s="3" t="s">
        <v>471</v>
      </c>
      <c r="P68" s="4" t="s">
        <v>9</v>
      </c>
      <c r="Q68" s="2" t="s">
        <v>41</v>
      </c>
      <c r="R68" s="9" t="s">
        <v>621</v>
      </c>
      <c r="S68" s="2" t="s">
        <v>124</v>
      </c>
    </row>
    <row r="69" spans="1:23" ht="14.4" customHeight="1" x14ac:dyDescent="0.3">
      <c r="A69" s="7" t="str">
        <f t="shared" si="12"/>
        <v/>
      </c>
      <c r="B69" s="7" t="str">
        <f t="shared" si="13"/>
        <v/>
      </c>
      <c r="C69" s="8" t="str">
        <f t="shared" si="14"/>
        <v/>
      </c>
      <c r="D69" s="8" t="str">
        <f t="shared" si="14"/>
        <v/>
      </c>
      <c r="E69" s="8" t="str">
        <f t="shared" si="15"/>
        <v/>
      </c>
      <c r="F69" s="7" t="s">
        <v>578</v>
      </c>
      <c r="G69" s="7" t="str">
        <f t="shared" si="16"/>
        <v>0305</v>
      </c>
      <c r="H69" s="7" t="str">
        <f t="shared" si="17"/>
        <v/>
      </c>
      <c r="I69" s="7" t="str">
        <f t="shared" si="18"/>
        <v/>
      </c>
      <c r="J69" s="6" t="str">
        <f>IFERROR(_xlfn.CONCAT(_xlfn.TEXTSPLIT(SUBSTITUTE(SUBSTITUTE(LOWER(Q69),"æ","ae"), " de ", " "),{"b. ","ss. ","s. ","ss.mi ","in ",".",","," et","sanctae ","ę","ũ"})), "")</f>
        <v/>
      </c>
      <c r="K69" s="6" t="str">
        <f t="shared" si="19"/>
        <v/>
      </c>
      <c r="L69" s="6" t="str">
        <f t="shared" si="20"/>
        <v/>
      </c>
      <c r="M69" s="6"/>
      <c r="N69" s="1">
        <v>45721</v>
      </c>
    </row>
    <row r="70" spans="1:23" ht="14.4" customHeight="1" x14ac:dyDescent="0.3">
      <c r="A70" s="7" t="str">
        <f t="shared" si="12"/>
        <v/>
      </c>
      <c r="B70" s="7" t="str">
        <f t="shared" si="13"/>
        <v/>
      </c>
      <c r="C70" s="8" t="str">
        <f t="shared" si="14"/>
        <v/>
      </c>
      <c r="D70" s="8" t="str">
        <f t="shared" si="14"/>
        <v/>
      </c>
      <c r="E70" s="8" t="str">
        <f t="shared" si="15"/>
        <v/>
      </c>
      <c r="F70" s="7" t="s">
        <v>578</v>
      </c>
      <c r="G70" s="7" t="str">
        <f t="shared" si="16"/>
        <v>0306</v>
      </c>
      <c r="H70" s="7" t="str">
        <f t="shared" si="17"/>
        <v/>
      </c>
      <c r="I70" s="7" t="str">
        <f t="shared" si="18"/>
        <v/>
      </c>
      <c r="J70" s="6" t="str">
        <f>IFERROR(_xlfn.CONCAT(_xlfn.TEXTSPLIT(SUBSTITUTE(SUBSTITUTE(LOWER(Q70),"æ","ae"), " de ", " "),{"b. ","ss. ","s. ","ss.mi ","in ",".",","," et","sanctae ","ę","ũ"})), "")</f>
        <v/>
      </c>
      <c r="K70" s="6" t="str">
        <f t="shared" si="19"/>
        <v/>
      </c>
      <c r="L70" s="6" t="str">
        <f t="shared" si="20"/>
        <v/>
      </c>
      <c r="M70" s="6"/>
      <c r="N70" s="1">
        <v>45722</v>
      </c>
    </row>
    <row r="71" spans="1:23" ht="14.4" customHeight="1" x14ac:dyDescent="0.3">
      <c r="A71" s="7" t="str">
        <f t="shared" si="12"/>
        <v>fix.0307.101.perfe</v>
      </c>
      <c r="B71" s="7" t="str">
        <f t="shared" si="13"/>
        <v>101</v>
      </c>
      <c r="C71" s="8" t="str">
        <f t="shared" si="14"/>
        <v>Ss. Perpetuæ et Felicitatis, martyrum</v>
      </c>
      <c r="D71" s="8" t="str">
        <f t="shared" si="14"/>
        <v>Sts. Perpetua and Felicity, Martyrs</v>
      </c>
      <c r="E71" s="8" t="str">
        <f t="shared" si="15"/>
        <v>성녀 페르페투아와 성녀 펠리치타 순교자 기념일</v>
      </c>
      <c r="F71" s="7" t="s">
        <v>578</v>
      </c>
      <c r="G71" s="7" t="str">
        <f t="shared" si="16"/>
        <v>0307</v>
      </c>
      <c r="H71" s="7" t="str">
        <f t="shared" si="17"/>
        <v>101</v>
      </c>
      <c r="I71" s="7" t="str">
        <f t="shared" si="18"/>
        <v>perfe</v>
      </c>
      <c r="J71" s="6" t="str">
        <f>IFERROR(_xlfn.CONCAT(_xlfn.TEXTSPLIT(SUBSTITUTE(SUBSTITUTE(LOWER(Q71),"æ","ae"), " de ", " "),{"b. ","ss. ","s. ","ss.mi ","in ",".",","," et","sanctae ","ę","ũ"})), "")</f>
        <v>perpetuae felicitatis martyrum</v>
      </c>
      <c r="K71" s="6">
        <f t="shared" si="19"/>
        <v>10</v>
      </c>
      <c r="L71" s="6" t="str">
        <f t="shared" si="20"/>
        <v>felicitatismartyrum</v>
      </c>
      <c r="M71" s="6"/>
      <c r="N71" s="1">
        <v>45723</v>
      </c>
      <c r="O71" s="3">
        <v>101</v>
      </c>
      <c r="P71" s="4" t="s">
        <v>8</v>
      </c>
      <c r="Q71" s="2" t="s">
        <v>42</v>
      </c>
      <c r="R71" s="9" t="s">
        <v>622</v>
      </c>
      <c r="S71" s="2" t="s">
        <v>125</v>
      </c>
    </row>
    <row r="72" spans="1:23" ht="14.4" customHeight="1" x14ac:dyDescent="0.3">
      <c r="A72" s="7" t="str">
        <f t="shared" si="12"/>
        <v>fix.0308.121.ioaad</v>
      </c>
      <c r="B72" s="7" t="str">
        <f t="shared" si="13"/>
        <v>121</v>
      </c>
      <c r="C72" s="8" t="str">
        <f t="shared" si="14"/>
        <v>S. Ioannis a Deo, religiosi</v>
      </c>
      <c r="D72" s="8" t="str">
        <f t="shared" si="14"/>
        <v>St. John of God, Religious</v>
      </c>
      <c r="E72" s="8" t="str">
        <f t="shared" si="15"/>
        <v>천주의 성 요한 수도자</v>
      </c>
      <c r="F72" s="7" t="s">
        <v>578</v>
      </c>
      <c r="G72" s="7" t="str">
        <f t="shared" si="16"/>
        <v>0308</v>
      </c>
      <c r="H72" s="7" t="str">
        <f t="shared" si="17"/>
        <v>121</v>
      </c>
      <c r="I72" s="7" t="str">
        <f t="shared" si="18"/>
        <v>ioaad</v>
      </c>
      <c r="J72" s="6" t="str">
        <f>IFERROR(_xlfn.CONCAT(_xlfn.TEXTSPLIT(SUBSTITUTE(SUBSTITUTE(LOWER(Q72),"æ","ae"), " de ", " "),{"b. ","ss. ","s. ","ss.mi ","in ",".",","," et","sanctae ","ę","ũ"})), "")</f>
        <v>ioannis a deo religiosi</v>
      </c>
      <c r="K72" s="6">
        <f t="shared" si="19"/>
        <v>8</v>
      </c>
      <c r="L72" s="6" t="str">
        <f t="shared" si="20"/>
        <v>adeoreligiosi</v>
      </c>
      <c r="M72" s="6"/>
      <c r="N72" s="1">
        <v>45724</v>
      </c>
      <c r="O72" s="3" t="s">
        <v>471</v>
      </c>
      <c r="P72" s="4" t="s">
        <v>9</v>
      </c>
      <c r="Q72" s="2" t="s">
        <v>43</v>
      </c>
      <c r="R72" s="9" t="s">
        <v>623</v>
      </c>
      <c r="S72" s="2" t="s">
        <v>126</v>
      </c>
    </row>
    <row r="73" spans="1:23" ht="14.4" customHeight="1" x14ac:dyDescent="0.3">
      <c r="A73" s="7" t="str">
        <f t="shared" si="12"/>
        <v>fix.0309.121.fraro</v>
      </c>
      <c r="B73" s="7" t="str">
        <f t="shared" si="13"/>
        <v>121</v>
      </c>
      <c r="C73" s="8" t="str">
        <f t="shared" si="14"/>
        <v>S. Franciscæ Romanæ, religiosæ</v>
      </c>
      <c r="D73" s="8" t="str">
        <f t="shared" si="14"/>
        <v>St. Frances of Rome, Religious</v>
      </c>
      <c r="E73" s="8" t="str">
        <f t="shared" si="15"/>
        <v>로마의 성녀 프란치스카 수도자</v>
      </c>
      <c r="F73" s="7" t="s">
        <v>578</v>
      </c>
      <c r="G73" s="7" t="str">
        <f t="shared" si="16"/>
        <v>0309</v>
      </c>
      <c r="H73" s="7" t="str">
        <f t="shared" si="17"/>
        <v>121</v>
      </c>
      <c r="I73" s="7" t="str">
        <f t="shared" si="18"/>
        <v>fraro</v>
      </c>
      <c r="J73" s="6" t="str">
        <f>IFERROR(_xlfn.CONCAT(_xlfn.TEXTSPLIT(SUBSTITUTE(SUBSTITUTE(LOWER(Q73),"æ","ae"), " de ", " "),{"b. ","ss. ","s. ","ss.mi ","in ",".",","," et","sanctae ","ę","ũ"})), "")</f>
        <v>franciscae romanae religiosae</v>
      </c>
      <c r="K73" s="6">
        <f t="shared" si="19"/>
        <v>11</v>
      </c>
      <c r="L73" s="6" t="str">
        <f t="shared" si="20"/>
        <v>romanaereligiosae</v>
      </c>
      <c r="M73" s="6"/>
      <c r="N73" s="1">
        <v>45725</v>
      </c>
      <c r="O73" s="3" t="s">
        <v>471</v>
      </c>
      <c r="P73" s="4" t="s">
        <v>9</v>
      </c>
      <c r="Q73" s="2" t="s">
        <v>44</v>
      </c>
      <c r="R73" s="9" t="s">
        <v>624</v>
      </c>
      <c r="S73" s="2" t="s">
        <v>127</v>
      </c>
    </row>
    <row r="74" spans="1:23" ht="14.4" customHeight="1" x14ac:dyDescent="0.3">
      <c r="A74" s="7" t="str">
        <f t="shared" si="12"/>
        <v/>
      </c>
      <c r="B74" s="7" t="str">
        <f t="shared" si="13"/>
        <v/>
      </c>
      <c r="C74" s="8" t="str">
        <f t="shared" si="14"/>
        <v/>
      </c>
      <c r="D74" s="8" t="str">
        <f t="shared" si="14"/>
        <v/>
      </c>
      <c r="E74" s="8" t="str">
        <f t="shared" si="15"/>
        <v/>
      </c>
      <c r="F74" s="7" t="s">
        <v>578</v>
      </c>
      <c r="G74" s="7" t="str">
        <f t="shared" si="16"/>
        <v>0310</v>
      </c>
      <c r="H74" s="7" t="str">
        <f t="shared" si="17"/>
        <v/>
      </c>
      <c r="I74" s="7" t="str">
        <f t="shared" si="18"/>
        <v/>
      </c>
      <c r="J74" s="6" t="str">
        <f>IFERROR(_xlfn.CONCAT(_xlfn.TEXTSPLIT(SUBSTITUTE(SUBSTITUTE(LOWER(Q74),"æ","ae"), " de ", " "),{"b. ","ss. ","s. ","ss.mi ","in ",".",","," et","sanctae ","ę","ũ"})), "")</f>
        <v/>
      </c>
      <c r="K74" s="6" t="str">
        <f t="shared" si="19"/>
        <v/>
      </c>
      <c r="L74" s="6" t="str">
        <f t="shared" si="20"/>
        <v/>
      </c>
      <c r="M74" s="6"/>
      <c r="N74" s="1">
        <v>45726</v>
      </c>
    </row>
    <row r="75" spans="1:23" ht="14.4" customHeight="1" x14ac:dyDescent="0.3">
      <c r="A75" s="7" t="str">
        <f t="shared" si="12"/>
        <v/>
      </c>
      <c r="B75" s="7" t="str">
        <f t="shared" si="13"/>
        <v/>
      </c>
      <c r="C75" s="8" t="str">
        <f t="shared" si="14"/>
        <v/>
      </c>
      <c r="D75" s="8" t="str">
        <f t="shared" si="14"/>
        <v/>
      </c>
      <c r="E75" s="8" t="str">
        <f t="shared" si="15"/>
        <v/>
      </c>
      <c r="F75" s="7" t="s">
        <v>578</v>
      </c>
      <c r="G75" s="7" t="str">
        <f t="shared" si="16"/>
        <v>0311</v>
      </c>
      <c r="H75" s="7" t="str">
        <f t="shared" si="17"/>
        <v/>
      </c>
      <c r="I75" s="7" t="str">
        <f t="shared" si="18"/>
        <v/>
      </c>
      <c r="J75" s="6" t="str">
        <f>IFERROR(_xlfn.CONCAT(_xlfn.TEXTSPLIT(SUBSTITUTE(SUBSTITUTE(LOWER(Q75),"æ","ae"), " de ", " "),{"b. ","ss. ","s. ","ss.mi ","in ",".",","," et","sanctae ","ę","ũ"})), "")</f>
        <v/>
      </c>
      <c r="K75" s="6" t="str">
        <f t="shared" si="19"/>
        <v/>
      </c>
      <c r="L75" s="6" t="str">
        <f t="shared" si="20"/>
        <v/>
      </c>
      <c r="M75" s="6"/>
      <c r="N75" s="1">
        <v>45727</v>
      </c>
    </row>
    <row r="76" spans="1:23" ht="14.4" customHeight="1" x14ac:dyDescent="0.3">
      <c r="A76" s="7" t="str">
        <f t="shared" si="12"/>
        <v/>
      </c>
      <c r="B76" s="7" t="str">
        <f t="shared" si="13"/>
        <v/>
      </c>
      <c r="C76" s="8" t="str">
        <f t="shared" si="14"/>
        <v/>
      </c>
      <c r="D76" s="8" t="str">
        <f t="shared" si="14"/>
        <v/>
      </c>
      <c r="E76" s="8" t="str">
        <f t="shared" si="15"/>
        <v/>
      </c>
      <c r="F76" s="7" t="s">
        <v>578</v>
      </c>
      <c r="G76" s="7" t="str">
        <f t="shared" si="16"/>
        <v>0312</v>
      </c>
      <c r="H76" s="7" t="str">
        <f t="shared" si="17"/>
        <v/>
      </c>
      <c r="I76" s="7" t="str">
        <f t="shared" si="18"/>
        <v/>
      </c>
      <c r="J76" s="6" t="str">
        <f>IFERROR(_xlfn.CONCAT(_xlfn.TEXTSPLIT(SUBSTITUTE(SUBSTITUTE(LOWER(Q76),"æ","ae"), " de ", " "),{"b. ","ss. ","s. ","ss.mi ","in ",".",","," et","sanctae ","ę","ũ"})), "")</f>
        <v/>
      </c>
      <c r="K76" s="6" t="str">
        <f t="shared" si="19"/>
        <v/>
      </c>
      <c r="L76" s="6" t="str">
        <f t="shared" si="20"/>
        <v/>
      </c>
      <c r="M76" s="6"/>
      <c r="N76" s="1">
        <v>45728</v>
      </c>
    </row>
    <row r="77" spans="1:23" ht="14.4" customHeight="1" x14ac:dyDescent="0.3">
      <c r="A77" s="7" t="str">
        <f t="shared" si="12"/>
        <v/>
      </c>
      <c r="B77" s="7" t="str">
        <f t="shared" si="13"/>
        <v/>
      </c>
      <c r="C77" s="8" t="str">
        <f t="shared" si="14"/>
        <v/>
      </c>
      <c r="D77" s="8" t="str">
        <f t="shared" si="14"/>
        <v/>
      </c>
      <c r="E77" s="8" t="str">
        <f t="shared" si="15"/>
        <v/>
      </c>
      <c r="F77" s="7" t="s">
        <v>578</v>
      </c>
      <c r="G77" s="7" t="str">
        <f t="shared" si="16"/>
        <v>0313</v>
      </c>
      <c r="H77" s="7" t="str">
        <f t="shared" si="17"/>
        <v/>
      </c>
      <c r="I77" s="7" t="str">
        <f t="shared" si="18"/>
        <v/>
      </c>
      <c r="J77" s="6" t="str">
        <f>IFERROR(_xlfn.CONCAT(_xlfn.TEXTSPLIT(SUBSTITUTE(SUBSTITUTE(LOWER(Q77),"æ","ae"), " de ", " "),{"b. ","ss. ","s. ","ss.mi ","in ",".",","," et","sanctae ","ę","ũ"})), "")</f>
        <v/>
      </c>
      <c r="K77" s="6" t="str">
        <f t="shared" si="19"/>
        <v/>
      </c>
      <c r="L77" s="6" t="str">
        <f t="shared" si="20"/>
        <v/>
      </c>
      <c r="M77" s="6"/>
      <c r="N77" s="1">
        <v>45729</v>
      </c>
    </row>
    <row r="78" spans="1:23" ht="14.4" customHeight="1" x14ac:dyDescent="0.3">
      <c r="A78" s="7" t="str">
        <f t="shared" si="12"/>
        <v/>
      </c>
      <c r="B78" s="7" t="str">
        <f t="shared" si="13"/>
        <v/>
      </c>
      <c r="C78" s="8" t="str">
        <f t="shared" si="14"/>
        <v/>
      </c>
      <c r="D78" s="8" t="str">
        <f t="shared" si="14"/>
        <v/>
      </c>
      <c r="E78" s="8" t="str">
        <f t="shared" si="15"/>
        <v/>
      </c>
      <c r="F78" s="7" t="s">
        <v>578</v>
      </c>
      <c r="G78" s="7" t="str">
        <f t="shared" si="16"/>
        <v>0314</v>
      </c>
      <c r="H78" s="7" t="str">
        <f t="shared" si="17"/>
        <v/>
      </c>
      <c r="I78" s="7" t="str">
        <f t="shared" si="18"/>
        <v/>
      </c>
      <c r="J78" s="6" t="str">
        <f>IFERROR(_xlfn.CONCAT(_xlfn.TEXTSPLIT(SUBSTITUTE(SUBSTITUTE(LOWER(Q78),"æ","ae"), " de ", " "),{"b. ","ss. ","s. ","ss.mi ","in ",".",","," et","sanctae ","ę","ũ"})), "")</f>
        <v/>
      </c>
      <c r="K78" s="6" t="str">
        <f t="shared" si="19"/>
        <v/>
      </c>
      <c r="L78" s="6" t="str">
        <f t="shared" si="20"/>
        <v/>
      </c>
      <c r="M78" s="6"/>
      <c r="N78" s="1">
        <v>45730</v>
      </c>
    </row>
    <row r="79" spans="1:23" ht="14.4" customHeight="1" x14ac:dyDescent="0.3">
      <c r="A79" s="7" t="str">
        <f t="shared" si="12"/>
        <v/>
      </c>
      <c r="B79" s="7" t="str">
        <f t="shared" si="13"/>
        <v/>
      </c>
      <c r="C79" s="8" t="str">
        <f t="shared" si="14"/>
        <v/>
      </c>
      <c r="D79" s="8" t="str">
        <f t="shared" si="14"/>
        <v/>
      </c>
      <c r="E79" s="8" t="str">
        <f t="shared" si="15"/>
        <v/>
      </c>
      <c r="F79" s="7" t="s">
        <v>578</v>
      </c>
      <c r="G79" s="7" t="str">
        <f t="shared" si="16"/>
        <v>0315</v>
      </c>
      <c r="H79" s="7" t="str">
        <f t="shared" si="17"/>
        <v/>
      </c>
      <c r="I79" s="7" t="str">
        <f t="shared" si="18"/>
        <v/>
      </c>
      <c r="J79" s="6" t="str">
        <f>IFERROR(_xlfn.CONCAT(_xlfn.TEXTSPLIT(SUBSTITUTE(SUBSTITUTE(LOWER(Q79),"æ","ae"), " de ", " "),{"b. ","ss. ","s. ","ss.mi ","in ",".",","," et","sanctae ","ę","ũ"})), "")</f>
        <v/>
      </c>
      <c r="K79" s="6" t="str">
        <f t="shared" si="19"/>
        <v/>
      </c>
      <c r="L79" s="6" t="str">
        <f t="shared" si="20"/>
        <v/>
      </c>
      <c r="M79" s="6"/>
      <c r="N79" s="1">
        <v>45731</v>
      </c>
    </row>
    <row r="80" spans="1:23" ht="14.4" customHeight="1" x14ac:dyDescent="0.3">
      <c r="A80" s="7" t="str">
        <f t="shared" si="12"/>
        <v/>
      </c>
      <c r="B80" s="7" t="str">
        <f t="shared" si="13"/>
        <v/>
      </c>
      <c r="C80" s="8" t="str">
        <f t="shared" si="14"/>
        <v/>
      </c>
      <c r="D80" s="8" t="str">
        <f t="shared" si="14"/>
        <v/>
      </c>
      <c r="E80" s="8" t="str">
        <f t="shared" si="15"/>
        <v/>
      </c>
      <c r="F80" s="7" t="s">
        <v>578</v>
      </c>
      <c r="G80" s="7" t="str">
        <f t="shared" si="16"/>
        <v>0316</v>
      </c>
      <c r="H80" s="7" t="str">
        <f t="shared" si="17"/>
        <v/>
      </c>
      <c r="I80" s="7" t="str">
        <f t="shared" si="18"/>
        <v/>
      </c>
      <c r="J80" s="6" t="str">
        <f>IFERROR(_xlfn.CONCAT(_xlfn.TEXTSPLIT(SUBSTITUTE(SUBSTITUTE(LOWER(Q80),"æ","ae"), " de ", " "),{"b. ","ss. ","s. ","ss.mi ","in ",".",","," et","sanctae ","ę","ũ"})), "")</f>
        <v/>
      </c>
      <c r="K80" s="6" t="str">
        <f t="shared" si="19"/>
        <v/>
      </c>
      <c r="L80" s="6" t="str">
        <f t="shared" si="20"/>
        <v/>
      </c>
      <c r="M80" s="6"/>
      <c r="N80" s="1">
        <v>45732</v>
      </c>
    </row>
    <row r="81" spans="1:19" ht="14.4" customHeight="1" x14ac:dyDescent="0.3">
      <c r="A81" s="7" t="str">
        <f t="shared" si="12"/>
        <v>fix.0317.121.patep</v>
      </c>
      <c r="B81" s="7" t="str">
        <f t="shared" si="13"/>
        <v>121</v>
      </c>
      <c r="C81" s="8" t="str">
        <f t="shared" si="14"/>
        <v>S. Patricii, episcopi</v>
      </c>
      <c r="D81" s="8" t="str">
        <f t="shared" si="14"/>
        <v>St. Patrick, Bishop</v>
      </c>
      <c r="E81" s="8" t="str">
        <f t="shared" si="15"/>
        <v>성 파트리치오 주교</v>
      </c>
      <c r="F81" s="7" t="s">
        <v>578</v>
      </c>
      <c r="G81" s="7" t="str">
        <f t="shared" si="16"/>
        <v>0317</v>
      </c>
      <c r="H81" s="7" t="str">
        <f t="shared" si="17"/>
        <v>121</v>
      </c>
      <c r="I81" s="7" t="str">
        <f t="shared" si="18"/>
        <v>patep</v>
      </c>
      <c r="J81" s="6" t="str">
        <f>IFERROR(_xlfn.CONCAT(_xlfn.TEXTSPLIT(SUBSTITUTE(SUBSTITUTE(LOWER(Q81),"æ","ae"), " de ", " "),{"b. ","ss. ","s. ","ss.mi ","in ",".",","," et","sanctae ","ę","ũ"})), "")</f>
        <v>patricii episcopi</v>
      </c>
      <c r="K81" s="6">
        <f t="shared" si="19"/>
        <v>9</v>
      </c>
      <c r="L81" s="6" t="str">
        <f t="shared" si="20"/>
        <v>episcopi</v>
      </c>
      <c r="M81" s="6"/>
      <c r="N81" s="1">
        <v>45733</v>
      </c>
      <c r="O81" s="3" t="s">
        <v>471</v>
      </c>
      <c r="P81" s="4" t="s">
        <v>9</v>
      </c>
      <c r="Q81" s="2" t="s">
        <v>45</v>
      </c>
      <c r="R81" s="9" t="s">
        <v>625</v>
      </c>
      <c r="S81" s="2" t="s">
        <v>128</v>
      </c>
    </row>
    <row r="82" spans="1:19" ht="14.4" customHeight="1" x14ac:dyDescent="0.3">
      <c r="A82" s="7" t="str">
        <f t="shared" si="12"/>
        <v>fix.0318.121.cyrhi</v>
      </c>
      <c r="B82" s="7" t="str">
        <f t="shared" si="13"/>
        <v>121</v>
      </c>
      <c r="C82" s="8" t="str">
        <f t="shared" si="14"/>
        <v>S. Cyrilli Hierosolymitani, episcopi et Ecclesiæ doctoris</v>
      </c>
      <c r="D82" s="8" t="str">
        <f t="shared" si="14"/>
        <v>St. Cyril of Jerusalem, Bishop and Doctor of the Church</v>
      </c>
      <c r="E82" s="8" t="str">
        <f t="shared" si="15"/>
        <v>예루살렘의 성 치릴로 주교 학자</v>
      </c>
      <c r="F82" s="7" t="s">
        <v>578</v>
      </c>
      <c r="G82" s="7" t="str">
        <f t="shared" si="16"/>
        <v>0318</v>
      </c>
      <c r="H82" s="7" t="str">
        <f t="shared" si="17"/>
        <v>121</v>
      </c>
      <c r="I82" s="7" t="str">
        <f t="shared" si="18"/>
        <v>cyrhi</v>
      </c>
      <c r="J82" s="6" t="str">
        <f>IFERROR(_xlfn.CONCAT(_xlfn.TEXTSPLIT(SUBSTITUTE(SUBSTITUTE(LOWER(Q82),"æ","ae"), " de ", " "),{"b. ","ss. ","s. ","ss.mi ","in ",".",","," et","sanctae ","ę","ũ"})), "")</f>
        <v>cyrilli hierosolymitani episcopi ecclesiae doctoris</v>
      </c>
      <c r="K82" s="6">
        <f t="shared" si="19"/>
        <v>8</v>
      </c>
      <c r="L82" s="6" t="str">
        <f t="shared" si="20"/>
        <v>hierosolymitaniepiscopiecclesiaedoctoris</v>
      </c>
      <c r="M82" s="6"/>
      <c r="N82" s="1">
        <v>45734</v>
      </c>
      <c r="O82" s="3" t="s">
        <v>471</v>
      </c>
      <c r="P82" s="4" t="s">
        <v>9</v>
      </c>
      <c r="Q82" s="2" t="s">
        <v>46</v>
      </c>
      <c r="R82" s="9" t="s">
        <v>626</v>
      </c>
      <c r="S82" s="2" t="s">
        <v>129</v>
      </c>
    </row>
    <row r="83" spans="1:19" ht="14.4" customHeight="1" x14ac:dyDescent="0.3">
      <c r="A83" s="7" t="str">
        <f t="shared" si="12"/>
        <v>fix.0319.031.iossp</v>
      </c>
      <c r="B83" s="7" t="str">
        <f t="shared" si="13"/>
        <v>031</v>
      </c>
      <c r="C83" s="8" t="str">
        <f t="shared" si="14"/>
        <v>S. IOSEPH, SPONSI B. M. V.</v>
      </c>
      <c r="D83" s="8" t="str">
        <f t="shared" si="14"/>
        <v xml:space="preserve">St. Joseph, SPOUSE of the Blessed Virgin Mary </v>
      </c>
      <c r="E83" s="8" t="str">
        <f t="shared" si="15"/>
        <v>복되신 동정 마리아의 배필 성 요셉 대축일</v>
      </c>
      <c r="F83" s="7" t="s">
        <v>578</v>
      </c>
      <c r="G83" s="7" t="str">
        <f t="shared" si="16"/>
        <v>0319</v>
      </c>
      <c r="H83" s="7" t="str">
        <f t="shared" si="17"/>
        <v>031</v>
      </c>
      <c r="I83" s="7" t="str">
        <f t="shared" si="18"/>
        <v>iossp</v>
      </c>
      <c r="J83" s="6" t="str">
        <f>IFERROR(_xlfn.CONCAT(_xlfn.TEXTSPLIT(SUBSTITUTE(SUBSTITUTE(LOWER(Q83),"æ","ae"), " de ", " "),{"b. ","ss. ","s. ","ss.mi ","in ",".",","," et","sanctae ","ę","ũ"})), "")</f>
        <v>ioseph sponsi m v</v>
      </c>
      <c r="K83" s="6">
        <f t="shared" si="19"/>
        <v>7</v>
      </c>
      <c r="L83" s="6" t="str">
        <f t="shared" si="20"/>
        <v>sponsimv</v>
      </c>
      <c r="M83" s="6"/>
      <c r="N83" s="1">
        <v>45735</v>
      </c>
      <c r="O83" s="3" t="s">
        <v>459</v>
      </c>
      <c r="P83" s="4" t="s">
        <v>7</v>
      </c>
      <c r="Q83" s="2" t="s">
        <v>47</v>
      </c>
      <c r="R83" s="9" t="s">
        <v>627</v>
      </c>
      <c r="S83" s="2" t="s">
        <v>130</v>
      </c>
    </row>
    <row r="84" spans="1:19" ht="14.4" customHeight="1" x14ac:dyDescent="0.3">
      <c r="A84" s="7" t="str">
        <f t="shared" si="12"/>
        <v/>
      </c>
      <c r="B84" s="7" t="str">
        <f t="shared" si="13"/>
        <v/>
      </c>
      <c r="C84" s="8" t="str">
        <f t="shared" si="14"/>
        <v/>
      </c>
      <c r="D84" s="8" t="str">
        <f t="shared" si="14"/>
        <v/>
      </c>
      <c r="E84" s="8" t="str">
        <f t="shared" si="15"/>
        <v/>
      </c>
      <c r="F84" s="7" t="s">
        <v>578</v>
      </c>
      <c r="G84" s="7" t="str">
        <f t="shared" si="16"/>
        <v>0320</v>
      </c>
      <c r="H84" s="7" t="str">
        <f t="shared" si="17"/>
        <v/>
      </c>
      <c r="I84" s="7" t="str">
        <f t="shared" si="18"/>
        <v/>
      </c>
      <c r="J84" s="6" t="str">
        <f>IFERROR(_xlfn.CONCAT(_xlfn.TEXTSPLIT(SUBSTITUTE(SUBSTITUTE(LOWER(Q84),"æ","ae"), " de ", " "),{"b. ","ss. ","s. ","ss.mi ","in ",".",","," et","sanctae ","ę","ũ"})), "")</f>
        <v/>
      </c>
      <c r="K84" s="6" t="str">
        <f t="shared" si="19"/>
        <v/>
      </c>
      <c r="L84" s="6" t="str">
        <f t="shared" si="20"/>
        <v/>
      </c>
      <c r="M84" s="6"/>
      <c r="N84" s="1">
        <v>45736</v>
      </c>
    </row>
    <row r="85" spans="1:19" ht="14.4" customHeight="1" x14ac:dyDescent="0.3">
      <c r="A85" s="7" t="str">
        <f t="shared" si="12"/>
        <v/>
      </c>
      <c r="B85" s="7" t="str">
        <f t="shared" si="13"/>
        <v/>
      </c>
      <c r="C85" s="8" t="str">
        <f t="shared" si="14"/>
        <v/>
      </c>
      <c r="D85" s="8" t="str">
        <f t="shared" si="14"/>
        <v/>
      </c>
      <c r="E85" s="8" t="str">
        <f t="shared" si="15"/>
        <v/>
      </c>
      <c r="F85" s="7" t="s">
        <v>578</v>
      </c>
      <c r="G85" s="7" t="str">
        <f t="shared" si="16"/>
        <v>0321</v>
      </c>
      <c r="H85" s="7" t="str">
        <f t="shared" si="17"/>
        <v/>
      </c>
      <c r="I85" s="7" t="str">
        <f t="shared" si="18"/>
        <v/>
      </c>
      <c r="J85" s="6" t="str">
        <f>IFERROR(_xlfn.CONCAT(_xlfn.TEXTSPLIT(SUBSTITUTE(SUBSTITUTE(LOWER(Q85),"æ","ae"), " de ", " "),{"b. ","ss. ","s. ","ss.mi ","in ",".",","," et","sanctae ","ę","ũ"})), "")</f>
        <v/>
      </c>
      <c r="K85" s="6" t="str">
        <f t="shared" si="19"/>
        <v/>
      </c>
      <c r="L85" s="6" t="str">
        <f t="shared" si="20"/>
        <v/>
      </c>
      <c r="M85" s="6"/>
      <c r="N85" s="1">
        <v>45737</v>
      </c>
    </row>
    <row r="86" spans="1:19" ht="14.4" customHeight="1" x14ac:dyDescent="0.3">
      <c r="A86" s="7" t="str">
        <f t="shared" si="12"/>
        <v/>
      </c>
      <c r="B86" s="7" t="str">
        <f t="shared" si="13"/>
        <v/>
      </c>
      <c r="C86" s="8" t="str">
        <f t="shared" si="14"/>
        <v/>
      </c>
      <c r="D86" s="8" t="str">
        <f t="shared" si="14"/>
        <v/>
      </c>
      <c r="E86" s="8" t="str">
        <f t="shared" si="15"/>
        <v/>
      </c>
      <c r="F86" s="7" t="s">
        <v>578</v>
      </c>
      <c r="G86" s="7" t="str">
        <f t="shared" si="16"/>
        <v>0322</v>
      </c>
      <c r="H86" s="7" t="str">
        <f t="shared" si="17"/>
        <v/>
      </c>
      <c r="I86" s="7" t="str">
        <f t="shared" si="18"/>
        <v/>
      </c>
      <c r="J86" s="6" t="str">
        <f>IFERROR(_xlfn.CONCAT(_xlfn.TEXTSPLIT(SUBSTITUTE(SUBSTITUTE(LOWER(Q86),"æ","ae"), " de ", " "),{"b. ","ss. ","s. ","ss.mi ","in ",".",","," et","sanctae ","ę","ũ"})), "")</f>
        <v/>
      </c>
      <c r="K86" s="6" t="str">
        <f t="shared" si="19"/>
        <v/>
      </c>
      <c r="L86" s="6" t="str">
        <f t="shared" si="20"/>
        <v/>
      </c>
      <c r="M86" s="6"/>
      <c r="N86" s="1">
        <v>45738</v>
      </c>
    </row>
    <row r="87" spans="1:19" ht="14.4" customHeight="1" x14ac:dyDescent="0.3">
      <c r="A87" s="7" t="str">
        <f t="shared" si="12"/>
        <v>fix.0323.121.turmo</v>
      </c>
      <c r="B87" s="7" t="str">
        <f t="shared" si="13"/>
        <v>121</v>
      </c>
      <c r="C87" s="8" t="str">
        <f t="shared" si="14"/>
        <v>S. Turibii de Mogrovejo, episcopi</v>
      </c>
      <c r="D87" s="8" t="str">
        <f t="shared" si="14"/>
        <v>St. Turibius of Mogrovejo, Bishop</v>
      </c>
      <c r="E87" s="8" t="str">
        <f t="shared" si="15"/>
        <v>성 투리비오 데 모그로베호 주교</v>
      </c>
      <c r="F87" s="7" t="s">
        <v>578</v>
      </c>
      <c r="G87" s="7" t="str">
        <f t="shared" si="16"/>
        <v>0323</v>
      </c>
      <c r="H87" s="7" t="str">
        <f t="shared" si="17"/>
        <v>121</v>
      </c>
      <c r="I87" s="7" t="str">
        <f t="shared" si="18"/>
        <v>turmo</v>
      </c>
      <c r="J87" s="6" t="str">
        <f>IFERROR(_xlfn.CONCAT(_xlfn.TEXTSPLIT(SUBSTITUTE(SUBSTITUTE(LOWER(Q87),"æ","ae"), " de ", " "),{"b. ","ss. ","s. ","ss.mi ","in ",".",","," et","sanctae ","ę","ũ"})), "")</f>
        <v>turibii mogrovejo episcopi</v>
      </c>
      <c r="K87" s="6">
        <f t="shared" si="19"/>
        <v>8</v>
      </c>
      <c r="L87" s="6" t="str">
        <f t="shared" si="20"/>
        <v>mogrovejoepiscopi</v>
      </c>
      <c r="M87" s="6"/>
      <c r="N87" s="1">
        <v>45739</v>
      </c>
      <c r="O87" s="3" t="s">
        <v>471</v>
      </c>
      <c r="P87" s="4" t="s">
        <v>9</v>
      </c>
      <c r="Q87" s="2" t="s">
        <v>48</v>
      </c>
      <c r="R87" s="9" t="s">
        <v>628</v>
      </c>
      <c r="S87" s="2" t="s">
        <v>131</v>
      </c>
    </row>
    <row r="88" spans="1:19" ht="14.4" customHeight="1" x14ac:dyDescent="0.3">
      <c r="A88" s="7" t="str">
        <f t="shared" si="12"/>
        <v/>
      </c>
      <c r="B88" s="7" t="str">
        <f t="shared" si="13"/>
        <v/>
      </c>
      <c r="C88" s="8" t="str">
        <f t="shared" si="14"/>
        <v/>
      </c>
      <c r="D88" s="8" t="str">
        <f t="shared" si="14"/>
        <v/>
      </c>
      <c r="E88" s="8" t="str">
        <f t="shared" si="15"/>
        <v/>
      </c>
      <c r="F88" s="7" t="s">
        <v>578</v>
      </c>
      <c r="G88" s="7" t="str">
        <f t="shared" si="16"/>
        <v>0324</v>
      </c>
      <c r="H88" s="7" t="str">
        <f t="shared" si="17"/>
        <v/>
      </c>
      <c r="I88" s="7" t="str">
        <f t="shared" si="18"/>
        <v/>
      </c>
      <c r="J88" s="6" t="str">
        <f>IFERROR(_xlfn.CONCAT(_xlfn.TEXTSPLIT(SUBSTITUTE(SUBSTITUTE(LOWER(Q88),"æ","ae"), " de ", " "),{"b. ","ss. ","s. ","ss.mi ","in ",".",","," et","sanctae ","ę","ũ"})), "")</f>
        <v/>
      </c>
      <c r="K88" s="6" t="str">
        <f t="shared" si="19"/>
        <v/>
      </c>
      <c r="L88" s="6" t="str">
        <f t="shared" si="20"/>
        <v/>
      </c>
      <c r="M88" s="6"/>
      <c r="N88" s="1">
        <v>45740</v>
      </c>
    </row>
    <row r="89" spans="1:19" ht="14.4" customHeight="1" x14ac:dyDescent="0.3">
      <c r="A89" s="7" t="str">
        <f t="shared" si="12"/>
        <v>fix.0325.031.anndo</v>
      </c>
      <c r="B89" s="7" t="str">
        <f t="shared" si="13"/>
        <v>031</v>
      </c>
      <c r="C89" s="8" t="str">
        <f t="shared" si="14"/>
        <v>IN ANNUNTIATIONE DOMINI</v>
      </c>
      <c r="D89" s="8" t="str">
        <f t="shared" si="14"/>
        <v>The Annunciation of the Lord</v>
      </c>
      <c r="E89" s="8" t="str">
        <f t="shared" si="15"/>
        <v>주님 탄생 예고 대축일</v>
      </c>
      <c r="F89" s="7" t="s">
        <v>578</v>
      </c>
      <c r="G89" s="7" t="str">
        <f t="shared" si="16"/>
        <v>0325</v>
      </c>
      <c r="H89" s="7" t="str">
        <f t="shared" si="17"/>
        <v>031</v>
      </c>
      <c r="I89" s="7" t="str">
        <f t="shared" si="18"/>
        <v>anndo</v>
      </c>
      <c r="J89" s="6" t="str">
        <f>IFERROR(_xlfn.CONCAT(_xlfn.TEXTSPLIT(SUBSTITUTE(SUBSTITUTE(LOWER(Q89),"æ","ae"), " de ", " "),{"b. ","ss. ","s. ","ss.mi ","in ",".",","," et","sanctae ","ę","ũ"})), "")</f>
        <v>annuntiatione domini</v>
      </c>
      <c r="K89" s="6">
        <f t="shared" si="19"/>
        <v>14</v>
      </c>
      <c r="L89" s="6" t="str">
        <f t="shared" si="20"/>
        <v>domini</v>
      </c>
      <c r="M89" s="6"/>
      <c r="N89" s="1">
        <v>45741</v>
      </c>
      <c r="O89" s="3" t="s">
        <v>459</v>
      </c>
      <c r="P89" s="4" t="s">
        <v>7</v>
      </c>
      <c r="Q89" s="2" t="s">
        <v>49</v>
      </c>
      <c r="R89" s="9" t="s">
        <v>629</v>
      </c>
      <c r="S89" s="2" t="s">
        <v>132</v>
      </c>
    </row>
    <row r="90" spans="1:19" ht="14.4" customHeight="1" x14ac:dyDescent="0.3">
      <c r="A90" s="7" t="str">
        <f t="shared" si="12"/>
        <v/>
      </c>
      <c r="B90" s="7" t="str">
        <f t="shared" si="13"/>
        <v/>
      </c>
      <c r="C90" s="8" t="str">
        <f t="shared" si="14"/>
        <v/>
      </c>
      <c r="D90" s="8" t="str">
        <f t="shared" si="14"/>
        <v/>
      </c>
      <c r="E90" s="8" t="str">
        <f t="shared" si="15"/>
        <v/>
      </c>
      <c r="F90" s="7" t="s">
        <v>578</v>
      </c>
      <c r="G90" s="7" t="str">
        <f t="shared" si="16"/>
        <v>0326</v>
      </c>
      <c r="H90" s="7" t="str">
        <f t="shared" si="17"/>
        <v/>
      </c>
      <c r="I90" s="7" t="str">
        <f t="shared" si="18"/>
        <v/>
      </c>
      <c r="J90" s="6" t="str">
        <f>IFERROR(_xlfn.CONCAT(_xlfn.TEXTSPLIT(SUBSTITUTE(SUBSTITUTE(LOWER(Q90),"æ","ae"), " de ", " "),{"b. ","ss. ","s. ","ss.mi ","in ",".",","," et","sanctae ","ę","ũ"})), "")</f>
        <v/>
      </c>
      <c r="K90" s="6" t="str">
        <f t="shared" si="19"/>
        <v/>
      </c>
      <c r="L90" s="6" t="str">
        <f t="shared" si="20"/>
        <v/>
      </c>
      <c r="M90" s="6"/>
      <c r="N90" s="1">
        <v>45742</v>
      </c>
    </row>
    <row r="91" spans="1:19" ht="14.4" customHeight="1" x14ac:dyDescent="0.3">
      <c r="A91" s="7" t="str">
        <f t="shared" si="12"/>
        <v/>
      </c>
      <c r="B91" s="7" t="str">
        <f t="shared" si="13"/>
        <v/>
      </c>
      <c r="C91" s="8" t="str">
        <f t="shared" si="14"/>
        <v/>
      </c>
      <c r="D91" s="8" t="str">
        <f t="shared" si="14"/>
        <v/>
      </c>
      <c r="E91" s="8" t="str">
        <f t="shared" si="15"/>
        <v/>
      </c>
      <c r="F91" s="7" t="s">
        <v>578</v>
      </c>
      <c r="G91" s="7" t="str">
        <f t="shared" si="16"/>
        <v>0327</v>
      </c>
      <c r="H91" s="7" t="str">
        <f t="shared" si="17"/>
        <v/>
      </c>
      <c r="I91" s="7" t="str">
        <f t="shared" si="18"/>
        <v/>
      </c>
      <c r="J91" s="6" t="str">
        <f>IFERROR(_xlfn.CONCAT(_xlfn.TEXTSPLIT(SUBSTITUTE(SUBSTITUTE(LOWER(Q91),"æ","ae"), " de ", " "),{"b. ","ss. ","s. ","ss.mi ","in ",".",","," et","sanctae ","ę","ũ"})), "")</f>
        <v/>
      </c>
      <c r="K91" s="6" t="str">
        <f t="shared" si="19"/>
        <v/>
      </c>
      <c r="L91" s="6" t="str">
        <f t="shared" si="20"/>
        <v/>
      </c>
      <c r="M91" s="6"/>
      <c r="N91" s="1">
        <v>45743</v>
      </c>
    </row>
    <row r="92" spans="1:19" ht="14.4" customHeight="1" x14ac:dyDescent="0.3">
      <c r="A92" s="7" t="str">
        <f t="shared" si="12"/>
        <v/>
      </c>
      <c r="B92" s="7" t="str">
        <f t="shared" si="13"/>
        <v/>
      </c>
      <c r="C92" s="8" t="str">
        <f t="shared" si="14"/>
        <v/>
      </c>
      <c r="D92" s="8" t="str">
        <f t="shared" si="14"/>
        <v/>
      </c>
      <c r="E92" s="8" t="str">
        <f t="shared" si="15"/>
        <v/>
      </c>
      <c r="F92" s="7" t="s">
        <v>578</v>
      </c>
      <c r="G92" s="7" t="str">
        <f t="shared" si="16"/>
        <v>0328</v>
      </c>
      <c r="H92" s="7" t="str">
        <f t="shared" si="17"/>
        <v/>
      </c>
      <c r="I92" s="7" t="str">
        <f t="shared" si="18"/>
        <v/>
      </c>
      <c r="J92" s="6" t="str">
        <f>IFERROR(_xlfn.CONCAT(_xlfn.TEXTSPLIT(SUBSTITUTE(SUBSTITUTE(LOWER(Q92),"æ","ae"), " de ", " "),{"b. ","ss. ","s. ","ss.mi ","in ",".",","," et","sanctae ","ę","ũ"})), "")</f>
        <v/>
      </c>
      <c r="K92" s="6" t="str">
        <f t="shared" si="19"/>
        <v/>
      </c>
      <c r="L92" s="6" t="str">
        <f t="shared" si="20"/>
        <v/>
      </c>
      <c r="M92" s="6"/>
      <c r="N92" s="1">
        <v>45744</v>
      </c>
    </row>
    <row r="93" spans="1:19" ht="14.4" customHeight="1" x14ac:dyDescent="0.3">
      <c r="A93" s="7" t="str">
        <f t="shared" si="12"/>
        <v/>
      </c>
      <c r="B93" s="7" t="str">
        <f t="shared" si="13"/>
        <v/>
      </c>
      <c r="C93" s="8" t="str">
        <f t="shared" si="14"/>
        <v/>
      </c>
      <c r="D93" s="8" t="str">
        <f t="shared" si="14"/>
        <v/>
      </c>
      <c r="E93" s="8" t="str">
        <f t="shared" si="15"/>
        <v/>
      </c>
      <c r="F93" s="7" t="s">
        <v>578</v>
      </c>
      <c r="G93" s="7" t="str">
        <f t="shared" si="16"/>
        <v>0329</v>
      </c>
      <c r="H93" s="7" t="str">
        <f t="shared" si="17"/>
        <v/>
      </c>
      <c r="I93" s="7" t="str">
        <f t="shared" si="18"/>
        <v/>
      </c>
      <c r="J93" s="6" t="str">
        <f>IFERROR(_xlfn.CONCAT(_xlfn.TEXTSPLIT(SUBSTITUTE(SUBSTITUTE(LOWER(Q93),"æ","ae"), " de ", " "),{"b. ","ss. ","s. ","ss.mi ","in ",".",","," et","sanctae ","ę","ũ"})), "")</f>
        <v/>
      </c>
      <c r="K93" s="6" t="str">
        <f t="shared" si="19"/>
        <v/>
      </c>
      <c r="L93" s="6" t="str">
        <f t="shared" si="20"/>
        <v/>
      </c>
      <c r="M93" s="6"/>
      <c r="N93" s="1">
        <v>45745</v>
      </c>
    </row>
    <row r="94" spans="1:19" ht="14.4" customHeight="1" x14ac:dyDescent="0.3">
      <c r="A94" s="7" t="str">
        <f t="shared" si="12"/>
        <v/>
      </c>
      <c r="B94" s="7" t="str">
        <f t="shared" si="13"/>
        <v/>
      </c>
      <c r="C94" s="8" t="str">
        <f t="shared" si="14"/>
        <v/>
      </c>
      <c r="D94" s="8" t="str">
        <f t="shared" si="14"/>
        <v/>
      </c>
      <c r="E94" s="8" t="str">
        <f t="shared" si="15"/>
        <v/>
      </c>
      <c r="F94" s="7" t="s">
        <v>578</v>
      </c>
      <c r="G94" s="7" t="str">
        <f t="shared" si="16"/>
        <v>0330</v>
      </c>
      <c r="H94" s="7" t="str">
        <f t="shared" si="17"/>
        <v/>
      </c>
      <c r="I94" s="7" t="str">
        <f t="shared" si="18"/>
        <v/>
      </c>
      <c r="J94" s="6" t="str">
        <f>IFERROR(_xlfn.CONCAT(_xlfn.TEXTSPLIT(SUBSTITUTE(SUBSTITUTE(LOWER(Q94),"æ","ae"), " de ", " "),{"b. ","ss. ","s. ","ss.mi ","in ",".",","," et","sanctae ","ę","ũ"})), "")</f>
        <v/>
      </c>
      <c r="K94" s="6" t="str">
        <f t="shared" si="19"/>
        <v/>
      </c>
      <c r="L94" s="6" t="str">
        <f t="shared" si="20"/>
        <v/>
      </c>
      <c r="M94" s="6"/>
      <c r="N94" s="1">
        <v>45746</v>
      </c>
    </row>
    <row r="95" spans="1:19" ht="14.4" customHeight="1" x14ac:dyDescent="0.3">
      <c r="A95" s="7" t="str">
        <f t="shared" si="12"/>
        <v/>
      </c>
      <c r="B95" s="7" t="str">
        <f t="shared" si="13"/>
        <v/>
      </c>
      <c r="C95" s="8" t="str">
        <f t="shared" si="14"/>
        <v/>
      </c>
      <c r="D95" s="8" t="str">
        <f t="shared" si="14"/>
        <v/>
      </c>
      <c r="E95" s="8" t="str">
        <f t="shared" si="15"/>
        <v/>
      </c>
      <c r="F95" s="7" t="s">
        <v>578</v>
      </c>
      <c r="G95" s="7" t="str">
        <f t="shared" si="16"/>
        <v>0331</v>
      </c>
      <c r="H95" s="7" t="str">
        <f t="shared" si="17"/>
        <v/>
      </c>
      <c r="I95" s="7" t="str">
        <f t="shared" si="18"/>
        <v/>
      </c>
      <c r="J95" s="6" t="str">
        <f>IFERROR(_xlfn.CONCAT(_xlfn.TEXTSPLIT(SUBSTITUTE(SUBSTITUTE(LOWER(Q95),"æ","ae"), " de ", " "),{"b. ","ss. ","s. ","ss.mi ","in ",".",","," et","sanctae ","ę","ũ"})), "")</f>
        <v/>
      </c>
      <c r="K95" s="6" t="str">
        <f t="shared" si="19"/>
        <v/>
      </c>
      <c r="L95" s="6" t="str">
        <f t="shared" si="20"/>
        <v/>
      </c>
      <c r="M95" s="6"/>
      <c r="N95" s="1">
        <v>45747</v>
      </c>
    </row>
    <row r="96" spans="1:19" ht="14.4" customHeight="1" x14ac:dyDescent="0.3">
      <c r="A96" s="7" t="str">
        <f t="shared" si="12"/>
        <v/>
      </c>
      <c r="B96" s="7" t="str">
        <f t="shared" si="13"/>
        <v/>
      </c>
      <c r="C96" s="8" t="str">
        <f t="shared" si="14"/>
        <v/>
      </c>
      <c r="D96" s="8" t="str">
        <f t="shared" si="14"/>
        <v/>
      </c>
      <c r="E96" s="8" t="str">
        <f t="shared" si="15"/>
        <v/>
      </c>
      <c r="F96" s="7" t="s">
        <v>578</v>
      </c>
      <c r="G96" s="7" t="str">
        <f t="shared" si="16"/>
        <v>0401</v>
      </c>
      <c r="H96" s="7" t="str">
        <f t="shared" si="17"/>
        <v/>
      </c>
      <c r="I96" s="7" t="str">
        <f t="shared" si="18"/>
        <v/>
      </c>
      <c r="J96" s="6" t="str">
        <f>IFERROR(_xlfn.CONCAT(_xlfn.TEXTSPLIT(SUBSTITUTE(SUBSTITUTE(LOWER(Q96),"æ","ae"), " de ", " "),{"b. ","ss. ","s. ","ss.mi ","in ",".",","," et","sanctae ","ę","ũ"})), "")</f>
        <v/>
      </c>
      <c r="K96" s="6" t="str">
        <f t="shared" si="19"/>
        <v/>
      </c>
      <c r="L96" s="6" t="str">
        <f t="shared" si="20"/>
        <v/>
      </c>
      <c r="M96" s="6"/>
      <c r="N96" s="1">
        <v>45748</v>
      </c>
    </row>
    <row r="97" spans="1:19" ht="14.4" customHeight="1" x14ac:dyDescent="0.3">
      <c r="A97" s="7" t="str">
        <f t="shared" si="12"/>
        <v>fix.0402.121.frapa</v>
      </c>
      <c r="B97" s="7" t="str">
        <f t="shared" si="13"/>
        <v>121</v>
      </c>
      <c r="C97" s="8" t="str">
        <f t="shared" si="14"/>
        <v>S. Francisci de Paola, eremitæ</v>
      </c>
      <c r="D97" s="8" t="str">
        <f t="shared" si="14"/>
        <v>St. Francis of Paola, Hermit</v>
      </c>
      <c r="E97" s="8" t="str">
        <f t="shared" si="15"/>
        <v>파올라의 성 프란치스코 은수자</v>
      </c>
      <c r="F97" s="7" t="s">
        <v>578</v>
      </c>
      <c r="G97" s="7" t="str">
        <f t="shared" si="16"/>
        <v>0402</v>
      </c>
      <c r="H97" s="7" t="str">
        <f t="shared" si="17"/>
        <v>121</v>
      </c>
      <c r="I97" s="7" t="str">
        <f t="shared" si="18"/>
        <v>frapa</v>
      </c>
      <c r="J97" s="6" t="str">
        <f>IFERROR(_xlfn.CONCAT(_xlfn.TEXTSPLIT(SUBSTITUTE(SUBSTITUTE(LOWER(Q97),"æ","ae"), " de ", " "),{"b. ","ss. ","s. ","ss.mi ","in ",".",","," et","sanctae ","ę","ũ"})), "")</f>
        <v>francisci paola eremitae</v>
      </c>
      <c r="K97" s="6">
        <f t="shared" si="19"/>
        <v>10</v>
      </c>
      <c r="L97" s="6" t="str">
        <f t="shared" si="20"/>
        <v>paolaeremitae</v>
      </c>
      <c r="M97" s="6"/>
      <c r="N97" s="1">
        <v>45749</v>
      </c>
      <c r="O97" s="3" t="s">
        <v>471</v>
      </c>
      <c r="P97" s="4" t="s">
        <v>9</v>
      </c>
      <c r="Q97" s="2" t="s">
        <v>50</v>
      </c>
      <c r="R97" s="9" t="s">
        <v>630</v>
      </c>
      <c r="S97" s="2" t="s">
        <v>133</v>
      </c>
    </row>
    <row r="98" spans="1:19" ht="14.4" customHeight="1" x14ac:dyDescent="0.3">
      <c r="A98" s="7" t="str">
        <f t="shared" si="12"/>
        <v/>
      </c>
      <c r="B98" s="7" t="str">
        <f t="shared" si="13"/>
        <v/>
      </c>
      <c r="C98" s="8" t="str">
        <f t="shared" si="14"/>
        <v/>
      </c>
      <c r="D98" s="8" t="str">
        <f t="shared" si="14"/>
        <v/>
      </c>
      <c r="E98" s="8" t="str">
        <f t="shared" si="15"/>
        <v/>
      </c>
      <c r="F98" s="7" t="s">
        <v>578</v>
      </c>
      <c r="G98" s="7" t="str">
        <f t="shared" si="16"/>
        <v>0403</v>
      </c>
      <c r="H98" s="7" t="str">
        <f t="shared" si="17"/>
        <v/>
      </c>
      <c r="I98" s="7" t="str">
        <f t="shared" si="18"/>
        <v/>
      </c>
      <c r="J98" s="6" t="str">
        <f>IFERROR(_xlfn.CONCAT(_xlfn.TEXTSPLIT(SUBSTITUTE(SUBSTITUTE(LOWER(Q98),"æ","ae"), " de ", " "),{"b. ","ss. ","s. ","ss.mi ","in ",".",","," et","sanctae ","ę","ũ"})), "")</f>
        <v/>
      </c>
      <c r="K98" s="6" t="str">
        <f t="shared" si="19"/>
        <v/>
      </c>
      <c r="L98" s="6" t="str">
        <f t="shared" si="20"/>
        <v/>
      </c>
      <c r="M98" s="6"/>
      <c r="N98" s="1">
        <v>45750</v>
      </c>
    </row>
    <row r="99" spans="1:19" ht="14.4" customHeight="1" x14ac:dyDescent="0.3">
      <c r="A99" s="7" t="str">
        <f t="shared" si="12"/>
        <v>fix.0404.121.isiep</v>
      </c>
      <c r="B99" s="7" t="str">
        <f t="shared" si="13"/>
        <v>121</v>
      </c>
      <c r="C99" s="8" t="str">
        <f t="shared" si="14"/>
        <v>S. Isidori, episcopi et Ecclesiæ doctoris</v>
      </c>
      <c r="D99" s="8" t="str">
        <f t="shared" si="14"/>
        <v>St. Isidore, Bishop and Doctor of the Church</v>
      </c>
      <c r="E99" s="8" t="str">
        <f t="shared" si="15"/>
        <v>성 이시도로 주교 학자</v>
      </c>
      <c r="F99" s="7" t="s">
        <v>578</v>
      </c>
      <c r="G99" s="7" t="str">
        <f t="shared" si="16"/>
        <v>0404</v>
      </c>
      <c r="H99" s="7" t="str">
        <f t="shared" si="17"/>
        <v>121</v>
      </c>
      <c r="I99" s="7" t="str">
        <f t="shared" si="18"/>
        <v>isiep</v>
      </c>
      <c r="J99" s="6" t="str">
        <f>IFERROR(_xlfn.CONCAT(_xlfn.TEXTSPLIT(SUBSTITUTE(SUBSTITUTE(LOWER(Q99),"æ","ae"), " de ", " "),{"b. ","ss. ","s. ","ss.mi ","in ",".",","," et","sanctae ","ę","ũ"})), "")</f>
        <v>isidori episcopi ecclesiae doctoris</v>
      </c>
      <c r="K99" s="6">
        <f t="shared" si="19"/>
        <v>8</v>
      </c>
      <c r="L99" s="6" t="str">
        <f t="shared" si="20"/>
        <v>episcopiecclesiaedoctoris</v>
      </c>
      <c r="M99" s="6"/>
      <c r="N99" s="1">
        <v>45751</v>
      </c>
      <c r="O99" s="3" t="s">
        <v>471</v>
      </c>
      <c r="P99" s="4" t="s">
        <v>9</v>
      </c>
      <c r="Q99" s="2" t="s">
        <v>51</v>
      </c>
      <c r="R99" s="9" t="s">
        <v>631</v>
      </c>
      <c r="S99" s="2" t="s">
        <v>134</v>
      </c>
    </row>
    <row r="100" spans="1:19" ht="14.4" customHeight="1" x14ac:dyDescent="0.3">
      <c r="A100" s="7" t="str">
        <f t="shared" si="12"/>
        <v>fix.0405.121.vinfe</v>
      </c>
      <c r="B100" s="7" t="str">
        <f t="shared" si="13"/>
        <v>121</v>
      </c>
      <c r="C100" s="8" t="str">
        <f t="shared" si="14"/>
        <v>S. Vincentii Ferrer, presbyteri</v>
      </c>
      <c r="D100" s="8" t="str">
        <f t="shared" si="14"/>
        <v>St. Vincent Ferrer, Priest</v>
      </c>
      <c r="E100" s="8" t="str">
        <f t="shared" si="15"/>
        <v>성 빈첸시오 페레르 사제</v>
      </c>
      <c r="F100" s="7" t="s">
        <v>578</v>
      </c>
      <c r="G100" s="7" t="str">
        <f t="shared" si="16"/>
        <v>0405</v>
      </c>
      <c r="H100" s="7" t="str">
        <f t="shared" si="17"/>
        <v>121</v>
      </c>
      <c r="I100" s="7" t="str">
        <f t="shared" si="18"/>
        <v>vinfe</v>
      </c>
      <c r="J100" s="6" t="str">
        <f>IFERROR(_xlfn.CONCAT(_xlfn.TEXTSPLIT(SUBSTITUTE(SUBSTITUTE(LOWER(Q100),"æ","ae"), " de ", " "),{"b. ","ss. ","s. ","ss.mi ","in ",".",","," et","sanctae ","ę","ũ"})), "")</f>
        <v>vincentii ferrer presbyteri</v>
      </c>
      <c r="K100" s="6">
        <f t="shared" si="19"/>
        <v>10</v>
      </c>
      <c r="L100" s="6" t="str">
        <f t="shared" si="20"/>
        <v>ferrerpresbyteri</v>
      </c>
      <c r="M100" s="6"/>
      <c r="N100" s="1">
        <v>45752</v>
      </c>
      <c r="O100" s="3" t="s">
        <v>471</v>
      </c>
      <c r="P100" s="4" t="s">
        <v>9</v>
      </c>
      <c r="Q100" s="2" t="s">
        <v>52</v>
      </c>
      <c r="R100" s="9" t="s">
        <v>632</v>
      </c>
      <c r="S100" s="2" t="s">
        <v>135</v>
      </c>
    </row>
    <row r="101" spans="1:19" ht="14.4" customHeight="1" x14ac:dyDescent="0.3">
      <c r="A101" s="7" t="str">
        <f t="shared" si="12"/>
        <v/>
      </c>
      <c r="B101" s="7" t="str">
        <f t="shared" si="13"/>
        <v/>
      </c>
      <c r="C101" s="8" t="str">
        <f t="shared" si="14"/>
        <v/>
      </c>
      <c r="D101" s="8" t="str">
        <f t="shared" si="14"/>
        <v/>
      </c>
      <c r="E101" s="8" t="str">
        <f t="shared" si="15"/>
        <v/>
      </c>
      <c r="F101" s="7" t="s">
        <v>578</v>
      </c>
      <c r="G101" s="7" t="str">
        <f t="shared" si="16"/>
        <v>0406</v>
      </c>
      <c r="H101" s="7" t="str">
        <f t="shared" si="17"/>
        <v/>
      </c>
      <c r="I101" s="7" t="str">
        <f t="shared" si="18"/>
        <v/>
      </c>
      <c r="J101" s="6" t="str">
        <f>IFERROR(_xlfn.CONCAT(_xlfn.TEXTSPLIT(SUBSTITUTE(SUBSTITUTE(LOWER(Q101),"æ","ae"), " de ", " "),{"b. ","ss. ","s. ","ss.mi ","in ",".",","," et","sanctae ","ę","ũ"})), "")</f>
        <v/>
      </c>
      <c r="K101" s="6" t="str">
        <f t="shared" si="19"/>
        <v/>
      </c>
      <c r="L101" s="6" t="str">
        <f t="shared" si="20"/>
        <v/>
      </c>
      <c r="M101" s="6"/>
      <c r="N101" s="1">
        <v>45753</v>
      </c>
    </row>
    <row r="102" spans="1:19" ht="14.4" customHeight="1" x14ac:dyDescent="0.3">
      <c r="A102" s="7" t="str">
        <f t="shared" si="12"/>
        <v>fix.0407.101.ioaba</v>
      </c>
      <c r="B102" s="7" t="str">
        <f t="shared" si="13"/>
        <v>101</v>
      </c>
      <c r="C102" s="8" t="str">
        <f t="shared" si="14"/>
        <v>S. Ioannis Baptistæ de la Salle, presbyteri</v>
      </c>
      <c r="D102" s="8" t="str">
        <f t="shared" si="14"/>
        <v>St. John Baptist de la Salle, Priest</v>
      </c>
      <c r="E102" s="8" t="str">
        <f t="shared" si="15"/>
        <v>성 요한 밥티스타 드 라 살 사제 기념일</v>
      </c>
      <c r="F102" s="7" t="s">
        <v>578</v>
      </c>
      <c r="G102" s="7" t="str">
        <f t="shared" si="16"/>
        <v>0407</v>
      </c>
      <c r="H102" s="7" t="str">
        <f t="shared" si="17"/>
        <v>101</v>
      </c>
      <c r="I102" s="7" t="str">
        <f t="shared" si="18"/>
        <v>ioaba</v>
      </c>
      <c r="J102" s="6" t="str">
        <f>IFERROR(_xlfn.CONCAT(_xlfn.TEXTSPLIT(SUBSTITUTE(SUBSTITUTE(LOWER(Q102),"æ","ae"), " de ", " "),{"b. ","ss. ","s. ","ss.mi ","in ",".",","," et","sanctae ","ę","ũ"})), "")</f>
        <v>ioannis baptistae la salle presbyteri</v>
      </c>
      <c r="K102" s="6">
        <f t="shared" si="19"/>
        <v>8</v>
      </c>
      <c r="L102" s="6" t="str">
        <f t="shared" si="20"/>
        <v>baptistaelasallepresbyteri</v>
      </c>
      <c r="M102" s="6"/>
      <c r="N102" s="1">
        <v>45754</v>
      </c>
      <c r="O102" s="3">
        <v>101</v>
      </c>
      <c r="P102" s="4" t="s">
        <v>8</v>
      </c>
      <c r="Q102" s="2" t="s">
        <v>53</v>
      </c>
      <c r="R102" s="9" t="s">
        <v>633</v>
      </c>
      <c r="S102" s="2" t="s">
        <v>136</v>
      </c>
    </row>
    <row r="103" spans="1:19" ht="14.4" customHeight="1" x14ac:dyDescent="0.3">
      <c r="A103" s="7" t="str">
        <f t="shared" si="12"/>
        <v/>
      </c>
      <c r="B103" s="7" t="str">
        <f t="shared" si="13"/>
        <v/>
      </c>
      <c r="C103" s="8" t="str">
        <f t="shared" si="14"/>
        <v/>
      </c>
      <c r="D103" s="8" t="str">
        <f t="shared" si="14"/>
        <v/>
      </c>
      <c r="E103" s="8" t="str">
        <f t="shared" si="15"/>
        <v/>
      </c>
      <c r="F103" s="7" t="s">
        <v>578</v>
      </c>
      <c r="G103" s="7" t="str">
        <f t="shared" si="16"/>
        <v>0408</v>
      </c>
      <c r="H103" s="7" t="str">
        <f t="shared" si="17"/>
        <v/>
      </c>
      <c r="I103" s="7" t="str">
        <f t="shared" si="18"/>
        <v/>
      </c>
      <c r="J103" s="6" t="str">
        <f>IFERROR(_xlfn.CONCAT(_xlfn.TEXTSPLIT(SUBSTITUTE(SUBSTITUTE(LOWER(Q103),"æ","ae"), " de ", " "),{"b. ","ss. ","s. ","ss.mi ","in ",".",","," et","sanctae ","ę","ũ"})), "")</f>
        <v/>
      </c>
      <c r="K103" s="6" t="str">
        <f t="shared" si="19"/>
        <v/>
      </c>
      <c r="L103" s="6" t="str">
        <f t="shared" si="20"/>
        <v/>
      </c>
      <c r="M103" s="6"/>
      <c r="N103" s="1">
        <v>45755</v>
      </c>
    </row>
    <row r="104" spans="1:19" ht="14.4" customHeight="1" x14ac:dyDescent="0.3">
      <c r="A104" s="7" t="str">
        <f t="shared" si="12"/>
        <v/>
      </c>
      <c r="B104" s="7" t="str">
        <f t="shared" si="13"/>
        <v/>
      </c>
      <c r="C104" s="8" t="str">
        <f t="shared" si="14"/>
        <v/>
      </c>
      <c r="D104" s="8" t="str">
        <f t="shared" si="14"/>
        <v/>
      </c>
      <c r="E104" s="8" t="str">
        <f t="shared" si="15"/>
        <v/>
      </c>
      <c r="F104" s="7" t="s">
        <v>578</v>
      </c>
      <c r="G104" s="7" t="str">
        <f t="shared" si="16"/>
        <v>0409</v>
      </c>
      <c r="H104" s="7" t="str">
        <f t="shared" si="17"/>
        <v/>
      </c>
      <c r="I104" s="7" t="str">
        <f t="shared" si="18"/>
        <v/>
      </c>
      <c r="J104" s="6" t="str">
        <f>IFERROR(_xlfn.CONCAT(_xlfn.TEXTSPLIT(SUBSTITUTE(SUBSTITUTE(LOWER(Q104),"æ","ae"), " de ", " "),{"b. ","ss. ","s. ","ss.mi ","in ",".",","," et","sanctae ","ę","ũ"})), "")</f>
        <v/>
      </c>
      <c r="K104" s="6" t="str">
        <f t="shared" si="19"/>
        <v/>
      </c>
      <c r="L104" s="6" t="str">
        <f t="shared" si="20"/>
        <v/>
      </c>
      <c r="M104" s="6"/>
      <c r="N104" s="1">
        <v>45756</v>
      </c>
    </row>
    <row r="105" spans="1:19" ht="14.4" customHeight="1" x14ac:dyDescent="0.3">
      <c r="A105" s="7" t="str">
        <f t="shared" si="12"/>
        <v/>
      </c>
      <c r="B105" s="7" t="str">
        <f t="shared" si="13"/>
        <v/>
      </c>
      <c r="C105" s="8" t="str">
        <f t="shared" si="14"/>
        <v/>
      </c>
      <c r="D105" s="8" t="str">
        <f t="shared" si="14"/>
        <v/>
      </c>
      <c r="E105" s="8" t="str">
        <f t="shared" si="15"/>
        <v/>
      </c>
      <c r="F105" s="7" t="s">
        <v>578</v>
      </c>
      <c r="G105" s="7" t="str">
        <f t="shared" si="16"/>
        <v>0410</v>
      </c>
      <c r="H105" s="7" t="str">
        <f t="shared" si="17"/>
        <v/>
      </c>
      <c r="I105" s="7" t="str">
        <f t="shared" si="18"/>
        <v/>
      </c>
      <c r="J105" s="6" t="str">
        <f>IFERROR(_xlfn.CONCAT(_xlfn.TEXTSPLIT(SUBSTITUTE(SUBSTITUTE(LOWER(Q105),"æ","ae"), " de ", " "),{"b. ","ss. ","s. ","ss.mi ","in ",".",","," et","sanctae ","ę","ũ"})), "")</f>
        <v/>
      </c>
      <c r="K105" s="6" t="str">
        <f t="shared" si="19"/>
        <v/>
      </c>
      <c r="L105" s="6" t="str">
        <f t="shared" si="20"/>
        <v/>
      </c>
      <c r="M105" s="6"/>
      <c r="N105" s="1">
        <v>45757</v>
      </c>
    </row>
    <row r="106" spans="1:19" ht="14.4" customHeight="1" x14ac:dyDescent="0.3">
      <c r="A106" s="7" t="str">
        <f t="shared" si="12"/>
        <v>fix.0411.101.staep</v>
      </c>
      <c r="B106" s="7" t="str">
        <f t="shared" si="13"/>
        <v>101</v>
      </c>
      <c r="C106" s="8" t="str">
        <f t="shared" si="14"/>
        <v>S. Stanislai, episcopi et martyris</v>
      </c>
      <c r="D106" s="8" t="str">
        <f t="shared" si="14"/>
        <v>St. Stanislaus, Bishop and Martyr</v>
      </c>
      <c r="E106" s="8" t="str">
        <f t="shared" si="15"/>
        <v>성 스타니슬라오 주교 순교자 기념일</v>
      </c>
      <c r="F106" s="7" t="s">
        <v>578</v>
      </c>
      <c r="G106" s="7" t="str">
        <f t="shared" si="16"/>
        <v>0411</v>
      </c>
      <c r="H106" s="7" t="str">
        <f t="shared" si="17"/>
        <v>101</v>
      </c>
      <c r="I106" s="7" t="str">
        <f t="shared" si="18"/>
        <v>staep</v>
      </c>
      <c r="J106" s="6" t="str">
        <f>IFERROR(_xlfn.CONCAT(_xlfn.TEXTSPLIT(SUBSTITUTE(SUBSTITUTE(LOWER(Q106),"æ","ae"), " de ", " "),{"b. ","ss. ","s. ","ss.mi ","in ",".",","," et","sanctae ","ę","ũ"})), "")</f>
        <v>stanislai episcopi martyris</v>
      </c>
      <c r="K106" s="6">
        <f t="shared" si="19"/>
        <v>10</v>
      </c>
      <c r="L106" s="6" t="str">
        <f t="shared" si="20"/>
        <v>episcopimartyris</v>
      </c>
      <c r="M106" s="6"/>
      <c r="N106" s="1">
        <v>45758</v>
      </c>
      <c r="O106" s="3">
        <v>101</v>
      </c>
      <c r="P106" s="4" t="s">
        <v>8</v>
      </c>
      <c r="Q106" s="2" t="s">
        <v>54</v>
      </c>
      <c r="R106" s="9" t="s">
        <v>634</v>
      </c>
      <c r="S106" s="2" t="s">
        <v>137</v>
      </c>
    </row>
    <row r="107" spans="1:19" ht="14.4" customHeight="1" x14ac:dyDescent="0.3">
      <c r="A107" s="7" t="str">
        <f t="shared" si="12"/>
        <v/>
      </c>
      <c r="B107" s="7" t="str">
        <f t="shared" si="13"/>
        <v/>
      </c>
      <c r="C107" s="8" t="str">
        <f t="shared" si="14"/>
        <v/>
      </c>
      <c r="D107" s="8" t="str">
        <f t="shared" si="14"/>
        <v/>
      </c>
      <c r="E107" s="8" t="str">
        <f t="shared" si="15"/>
        <v/>
      </c>
      <c r="F107" s="7" t="s">
        <v>578</v>
      </c>
      <c r="G107" s="7" t="str">
        <f t="shared" si="16"/>
        <v>0412</v>
      </c>
      <c r="H107" s="7" t="str">
        <f t="shared" si="17"/>
        <v/>
      </c>
      <c r="I107" s="7" t="str">
        <f t="shared" si="18"/>
        <v/>
      </c>
      <c r="J107" s="6" t="str">
        <f>IFERROR(_xlfn.CONCAT(_xlfn.TEXTSPLIT(SUBSTITUTE(SUBSTITUTE(LOWER(Q107),"æ","ae"), " de ", " "),{"b. ","ss. ","s. ","ss.mi ","in ",".",","," et","sanctae ","ę","ũ"})), "")</f>
        <v/>
      </c>
      <c r="K107" s="6" t="str">
        <f t="shared" si="19"/>
        <v/>
      </c>
      <c r="L107" s="6" t="str">
        <f t="shared" si="20"/>
        <v/>
      </c>
      <c r="M107" s="6"/>
      <c r="N107" s="1">
        <v>45759</v>
      </c>
    </row>
    <row r="108" spans="1:19" ht="14.4" customHeight="1" x14ac:dyDescent="0.3">
      <c r="A108" s="7" t="str">
        <f t="shared" si="12"/>
        <v>fix.0413.121.marip</v>
      </c>
      <c r="B108" s="7" t="str">
        <f t="shared" si="13"/>
        <v>121</v>
      </c>
      <c r="C108" s="8" t="str">
        <f t="shared" si="14"/>
        <v>S. Martini I, papæ et martyris</v>
      </c>
      <c r="D108" s="8" t="str">
        <f t="shared" si="14"/>
        <v>St. Martin I, Pope and Martyr</v>
      </c>
      <c r="E108" s="8" t="str">
        <f t="shared" si="15"/>
        <v>성 마르티노 1세 교황 순교자</v>
      </c>
      <c r="F108" s="7" t="s">
        <v>578</v>
      </c>
      <c r="G108" s="7" t="str">
        <f t="shared" si="16"/>
        <v>0413</v>
      </c>
      <c r="H108" s="7" t="str">
        <f t="shared" si="17"/>
        <v>121</v>
      </c>
      <c r="I108" s="7" t="str">
        <f t="shared" si="18"/>
        <v>marip</v>
      </c>
      <c r="J108" s="6" t="str">
        <f>IFERROR(_xlfn.CONCAT(_xlfn.TEXTSPLIT(SUBSTITUTE(SUBSTITUTE(LOWER(Q108),"æ","ae"), " de ", " "),{"b. ","ss. ","s. ","ss.mi ","in ",".",","," et","sanctae ","ę","ũ"})), "")</f>
        <v>martini i papae martyris</v>
      </c>
      <c r="K108" s="6">
        <f t="shared" si="19"/>
        <v>8</v>
      </c>
      <c r="L108" s="6" t="str">
        <f t="shared" si="20"/>
        <v>ipapaemartyris</v>
      </c>
      <c r="M108" s="6"/>
      <c r="N108" s="1">
        <v>45760</v>
      </c>
      <c r="O108" s="3" t="s">
        <v>471</v>
      </c>
      <c r="P108" s="4" t="s">
        <v>9</v>
      </c>
      <c r="Q108" s="2" t="s">
        <v>55</v>
      </c>
      <c r="R108" s="9" t="s">
        <v>635</v>
      </c>
      <c r="S108" s="2" t="s">
        <v>138</v>
      </c>
    </row>
    <row r="109" spans="1:19" ht="14.4" customHeight="1" x14ac:dyDescent="0.3">
      <c r="A109" s="7" t="str">
        <f t="shared" si="12"/>
        <v/>
      </c>
      <c r="B109" s="7" t="str">
        <f t="shared" si="13"/>
        <v/>
      </c>
      <c r="C109" s="8" t="str">
        <f t="shared" si="14"/>
        <v/>
      </c>
      <c r="D109" s="8" t="str">
        <f t="shared" si="14"/>
        <v/>
      </c>
      <c r="E109" s="8" t="str">
        <f t="shared" si="15"/>
        <v/>
      </c>
      <c r="F109" s="7" t="s">
        <v>578</v>
      </c>
      <c r="G109" s="7" t="str">
        <f t="shared" si="16"/>
        <v>0414</v>
      </c>
      <c r="H109" s="7" t="str">
        <f t="shared" si="17"/>
        <v/>
      </c>
      <c r="I109" s="7" t="str">
        <f t="shared" si="18"/>
        <v/>
      </c>
      <c r="J109" s="6" t="str">
        <f>IFERROR(_xlfn.CONCAT(_xlfn.TEXTSPLIT(SUBSTITUTE(SUBSTITUTE(LOWER(Q109),"æ","ae"), " de ", " "),{"b. ","ss. ","s. ","ss.mi ","in ",".",","," et","sanctae ","ę","ũ"})), "")</f>
        <v/>
      </c>
      <c r="K109" s="6" t="str">
        <f t="shared" si="19"/>
        <v/>
      </c>
      <c r="L109" s="6" t="str">
        <f t="shared" si="20"/>
        <v/>
      </c>
      <c r="M109" s="6"/>
      <c r="N109" s="1">
        <v>45761</v>
      </c>
    </row>
    <row r="110" spans="1:19" ht="14.4" customHeight="1" x14ac:dyDescent="0.3">
      <c r="A110" s="7" t="str">
        <f t="shared" si="12"/>
        <v/>
      </c>
      <c r="B110" s="7" t="str">
        <f t="shared" si="13"/>
        <v/>
      </c>
      <c r="C110" s="8" t="str">
        <f t="shared" si="14"/>
        <v/>
      </c>
      <c r="D110" s="8" t="str">
        <f t="shared" si="14"/>
        <v/>
      </c>
      <c r="E110" s="8" t="str">
        <f t="shared" si="15"/>
        <v/>
      </c>
      <c r="F110" s="7" t="s">
        <v>578</v>
      </c>
      <c r="G110" s="7" t="str">
        <f t="shared" si="16"/>
        <v>0415</v>
      </c>
      <c r="H110" s="7" t="str">
        <f t="shared" si="17"/>
        <v/>
      </c>
      <c r="I110" s="7" t="str">
        <f t="shared" si="18"/>
        <v/>
      </c>
      <c r="J110" s="6" t="str">
        <f>IFERROR(_xlfn.CONCAT(_xlfn.TEXTSPLIT(SUBSTITUTE(SUBSTITUTE(LOWER(Q110),"æ","ae"), " de ", " "),{"b. ","ss. ","s. ","ss.mi ","in ",".",","," et","sanctae ","ę","ũ"})), "")</f>
        <v/>
      </c>
      <c r="K110" s="6" t="str">
        <f t="shared" si="19"/>
        <v/>
      </c>
      <c r="L110" s="6" t="str">
        <f t="shared" si="20"/>
        <v/>
      </c>
      <c r="M110" s="6"/>
      <c r="N110" s="1">
        <v>45762</v>
      </c>
    </row>
    <row r="111" spans="1:19" ht="14.4" customHeight="1" x14ac:dyDescent="0.3">
      <c r="A111" s="7" t="str">
        <f t="shared" si="12"/>
        <v/>
      </c>
      <c r="B111" s="7" t="str">
        <f t="shared" si="13"/>
        <v/>
      </c>
      <c r="C111" s="8" t="str">
        <f t="shared" si="14"/>
        <v/>
      </c>
      <c r="D111" s="8" t="str">
        <f t="shared" si="14"/>
        <v/>
      </c>
      <c r="E111" s="8" t="str">
        <f t="shared" si="15"/>
        <v/>
      </c>
      <c r="F111" s="7" t="s">
        <v>578</v>
      </c>
      <c r="G111" s="7" t="str">
        <f t="shared" si="16"/>
        <v>0416</v>
      </c>
      <c r="H111" s="7" t="str">
        <f t="shared" si="17"/>
        <v/>
      </c>
      <c r="I111" s="7" t="str">
        <f t="shared" si="18"/>
        <v/>
      </c>
      <c r="J111" s="6" t="str">
        <f>IFERROR(_xlfn.CONCAT(_xlfn.TEXTSPLIT(SUBSTITUTE(SUBSTITUTE(LOWER(Q111),"æ","ae"), " de ", " "),{"b. ","ss. ","s. ","ss.mi ","in ",".",","," et","sanctae ","ę","ũ"})), "")</f>
        <v/>
      </c>
      <c r="K111" s="6" t="str">
        <f t="shared" si="19"/>
        <v/>
      </c>
      <c r="L111" s="6" t="str">
        <f t="shared" si="20"/>
        <v/>
      </c>
      <c r="M111" s="6"/>
      <c r="N111" s="1">
        <v>45763</v>
      </c>
    </row>
    <row r="112" spans="1:19" ht="14.4" customHeight="1" x14ac:dyDescent="0.3">
      <c r="A112" s="7" t="str">
        <f t="shared" si="12"/>
        <v/>
      </c>
      <c r="B112" s="7" t="str">
        <f t="shared" si="13"/>
        <v/>
      </c>
      <c r="C112" s="8" t="str">
        <f t="shared" si="14"/>
        <v/>
      </c>
      <c r="D112" s="8" t="str">
        <f t="shared" si="14"/>
        <v/>
      </c>
      <c r="E112" s="8" t="str">
        <f t="shared" si="15"/>
        <v/>
      </c>
      <c r="F112" s="7" t="s">
        <v>578</v>
      </c>
      <c r="G112" s="7" t="str">
        <f t="shared" si="16"/>
        <v>0417</v>
      </c>
      <c r="H112" s="7" t="str">
        <f t="shared" si="17"/>
        <v/>
      </c>
      <c r="I112" s="7" t="str">
        <f t="shared" si="18"/>
        <v/>
      </c>
      <c r="J112" s="6" t="str">
        <f>IFERROR(_xlfn.CONCAT(_xlfn.TEXTSPLIT(SUBSTITUTE(SUBSTITUTE(LOWER(Q112),"æ","ae"), " de ", " "),{"b. ","ss. ","s. ","ss.mi ","in ",".",","," et","sanctae ","ę","ũ"})), "")</f>
        <v/>
      </c>
      <c r="K112" s="6" t="str">
        <f t="shared" si="19"/>
        <v/>
      </c>
      <c r="L112" s="6" t="str">
        <f t="shared" si="20"/>
        <v/>
      </c>
      <c r="M112" s="6"/>
      <c r="N112" s="1">
        <v>45764</v>
      </c>
    </row>
    <row r="113" spans="1:19" ht="14.4" customHeight="1" x14ac:dyDescent="0.3">
      <c r="A113" s="7" t="str">
        <f t="shared" si="12"/>
        <v/>
      </c>
      <c r="B113" s="7" t="str">
        <f t="shared" si="13"/>
        <v/>
      </c>
      <c r="C113" s="8" t="str">
        <f t="shared" si="14"/>
        <v/>
      </c>
      <c r="D113" s="8" t="str">
        <f t="shared" si="14"/>
        <v/>
      </c>
      <c r="E113" s="8" t="str">
        <f t="shared" si="15"/>
        <v/>
      </c>
      <c r="F113" s="7" t="s">
        <v>578</v>
      </c>
      <c r="G113" s="7" t="str">
        <f t="shared" si="16"/>
        <v>0418</v>
      </c>
      <c r="H113" s="7" t="str">
        <f t="shared" si="17"/>
        <v/>
      </c>
      <c r="I113" s="7" t="str">
        <f t="shared" si="18"/>
        <v/>
      </c>
      <c r="J113" s="6" t="str">
        <f>IFERROR(_xlfn.CONCAT(_xlfn.TEXTSPLIT(SUBSTITUTE(SUBSTITUTE(LOWER(Q113),"æ","ae"), " de ", " "),{"b. ","ss. ","s. ","ss.mi ","in ",".",","," et","sanctae ","ę","ũ"})), "")</f>
        <v/>
      </c>
      <c r="K113" s="6" t="str">
        <f t="shared" si="19"/>
        <v/>
      </c>
      <c r="L113" s="6" t="str">
        <f t="shared" si="20"/>
        <v/>
      </c>
      <c r="M113" s="6"/>
      <c r="N113" s="1">
        <v>45765</v>
      </c>
    </row>
    <row r="114" spans="1:19" ht="14.4" customHeight="1" x14ac:dyDescent="0.3">
      <c r="A114" s="7" t="str">
        <f t="shared" si="12"/>
        <v/>
      </c>
      <c r="B114" s="7" t="str">
        <f t="shared" si="13"/>
        <v/>
      </c>
      <c r="C114" s="8" t="str">
        <f t="shared" si="14"/>
        <v/>
      </c>
      <c r="D114" s="8" t="str">
        <f t="shared" si="14"/>
        <v/>
      </c>
      <c r="E114" s="8" t="str">
        <f t="shared" si="15"/>
        <v/>
      </c>
      <c r="F114" s="7" t="s">
        <v>578</v>
      </c>
      <c r="G114" s="7" t="str">
        <f t="shared" si="16"/>
        <v>0419</v>
      </c>
      <c r="H114" s="7" t="str">
        <f t="shared" si="17"/>
        <v/>
      </c>
      <c r="I114" s="7" t="str">
        <f t="shared" si="18"/>
        <v/>
      </c>
      <c r="J114" s="6" t="str">
        <f>IFERROR(_xlfn.CONCAT(_xlfn.TEXTSPLIT(SUBSTITUTE(SUBSTITUTE(LOWER(Q114),"æ","ae"), " de ", " "),{"b. ","ss. ","s. ","ss.mi ","in ",".",","," et","sanctae ","ę","ũ"})), "")</f>
        <v/>
      </c>
      <c r="K114" s="6" t="str">
        <f t="shared" si="19"/>
        <v/>
      </c>
      <c r="L114" s="6" t="str">
        <f t="shared" si="20"/>
        <v/>
      </c>
      <c r="M114" s="6"/>
      <c r="N114" s="1">
        <v>45766</v>
      </c>
    </row>
    <row r="115" spans="1:19" ht="14.4" customHeight="1" x14ac:dyDescent="0.3">
      <c r="A115" s="7" t="str">
        <f t="shared" si="12"/>
        <v/>
      </c>
      <c r="B115" s="7" t="str">
        <f t="shared" si="13"/>
        <v/>
      </c>
      <c r="C115" s="8" t="str">
        <f t="shared" si="14"/>
        <v/>
      </c>
      <c r="D115" s="8" t="str">
        <f t="shared" si="14"/>
        <v/>
      </c>
      <c r="E115" s="8" t="str">
        <f t="shared" si="15"/>
        <v/>
      </c>
      <c r="F115" s="7" t="s">
        <v>578</v>
      </c>
      <c r="G115" s="7" t="str">
        <f t="shared" si="16"/>
        <v>0420</v>
      </c>
      <c r="H115" s="7" t="str">
        <f t="shared" si="17"/>
        <v/>
      </c>
      <c r="I115" s="7" t="str">
        <f t="shared" si="18"/>
        <v/>
      </c>
      <c r="J115" s="6" t="str">
        <f>IFERROR(_xlfn.CONCAT(_xlfn.TEXTSPLIT(SUBSTITUTE(SUBSTITUTE(LOWER(Q115),"æ","ae"), " de ", " "),{"b. ","ss. ","s. ","ss.mi ","in ",".",","," et","sanctae ","ę","ũ"})), "")</f>
        <v/>
      </c>
      <c r="K115" s="6" t="str">
        <f t="shared" si="19"/>
        <v/>
      </c>
      <c r="L115" s="6" t="str">
        <f t="shared" si="20"/>
        <v/>
      </c>
      <c r="M115" s="6"/>
      <c r="N115" s="1">
        <v>45767</v>
      </c>
    </row>
    <row r="116" spans="1:19" ht="14.4" customHeight="1" x14ac:dyDescent="0.3">
      <c r="A116" s="7" t="str">
        <f t="shared" si="12"/>
        <v>fix.0421.121.ansep</v>
      </c>
      <c r="B116" s="7" t="str">
        <f t="shared" si="13"/>
        <v>121</v>
      </c>
      <c r="C116" s="8" t="str">
        <f t="shared" si="14"/>
        <v>S. Anselmi, episcopi et Ecclesiæ doctoris</v>
      </c>
      <c r="D116" s="8" t="str">
        <f t="shared" si="14"/>
        <v>St. Anselm, Bishop and Doctor of the Church</v>
      </c>
      <c r="E116" s="8" t="str">
        <f t="shared" si="15"/>
        <v>성 안셀모 주교 학자</v>
      </c>
      <c r="F116" s="7" t="s">
        <v>578</v>
      </c>
      <c r="G116" s="7" t="str">
        <f t="shared" si="16"/>
        <v>0421</v>
      </c>
      <c r="H116" s="7" t="str">
        <f t="shared" si="17"/>
        <v>121</v>
      </c>
      <c r="I116" s="7" t="str">
        <f t="shared" si="18"/>
        <v>ansep</v>
      </c>
      <c r="J116" s="6" t="str">
        <f>IFERROR(_xlfn.CONCAT(_xlfn.TEXTSPLIT(SUBSTITUTE(SUBSTITUTE(LOWER(Q116),"æ","ae"), " de ", " "),{"b. ","ss. ","s. ","ss.mi ","in ",".",","," et","sanctae ","ę","ũ"})), "")</f>
        <v>anselmi episcopi ecclesiae doctoris</v>
      </c>
      <c r="K116" s="6">
        <f t="shared" si="19"/>
        <v>8</v>
      </c>
      <c r="L116" s="6" t="str">
        <f t="shared" si="20"/>
        <v>episcopiecclesiaedoctoris</v>
      </c>
      <c r="M116" s="6"/>
      <c r="N116" s="1">
        <v>45768</v>
      </c>
      <c r="O116" s="3" t="s">
        <v>471</v>
      </c>
      <c r="P116" s="4" t="s">
        <v>9</v>
      </c>
      <c r="Q116" s="2" t="s">
        <v>56</v>
      </c>
      <c r="R116" s="9" t="s">
        <v>636</v>
      </c>
      <c r="S116" s="2" t="s">
        <v>139</v>
      </c>
    </row>
    <row r="117" spans="1:19" ht="14.4" customHeight="1" x14ac:dyDescent="0.3">
      <c r="A117" s="7" t="str">
        <f t="shared" si="12"/>
        <v/>
      </c>
      <c r="B117" s="7" t="str">
        <f t="shared" si="13"/>
        <v/>
      </c>
      <c r="C117" s="8" t="str">
        <f t="shared" si="14"/>
        <v/>
      </c>
      <c r="D117" s="8" t="str">
        <f t="shared" si="14"/>
        <v/>
      </c>
      <c r="E117" s="8" t="str">
        <f t="shared" si="15"/>
        <v/>
      </c>
      <c r="F117" s="7" t="s">
        <v>578</v>
      </c>
      <c r="G117" s="7" t="str">
        <f t="shared" si="16"/>
        <v>0422</v>
      </c>
      <c r="H117" s="7" t="str">
        <f t="shared" si="17"/>
        <v/>
      </c>
      <c r="I117" s="7" t="str">
        <f t="shared" si="18"/>
        <v/>
      </c>
      <c r="J117" s="6" t="str">
        <f>IFERROR(_xlfn.CONCAT(_xlfn.TEXTSPLIT(SUBSTITUTE(SUBSTITUTE(LOWER(Q117),"æ","ae"), " de ", " "),{"b. ","ss. ","s. ","ss.mi ","in ",".",","," et","sanctae ","ę","ũ"})), "")</f>
        <v/>
      </c>
      <c r="K117" s="6" t="str">
        <f t="shared" si="19"/>
        <v/>
      </c>
      <c r="L117" s="6" t="str">
        <f t="shared" si="20"/>
        <v/>
      </c>
      <c r="M117" s="6"/>
      <c r="N117" s="1">
        <v>45769</v>
      </c>
    </row>
    <row r="118" spans="1:19" ht="14.4" customHeight="1" x14ac:dyDescent="0.3">
      <c r="A118" s="7" t="str">
        <f t="shared" si="12"/>
        <v>fix.0423.121.geoma</v>
      </c>
      <c r="B118" s="7" t="str">
        <f t="shared" si="13"/>
        <v>121</v>
      </c>
      <c r="C118" s="8" t="str">
        <f t="shared" si="14"/>
        <v>S. Georgii, martyris</v>
      </c>
      <c r="D118" s="8" t="str">
        <f t="shared" si="14"/>
        <v>St. George, Martyr</v>
      </c>
      <c r="E118" s="8" t="str">
        <f t="shared" si="15"/>
        <v>성 제오르지오 순교자</v>
      </c>
      <c r="F118" s="7" t="s">
        <v>578</v>
      </c>
      <c r="G118" s="7" t="str">
        <f t="shared" si="16"/>
        <v>0423</v>
      </c>
      <c r="H118" s="7" t="str">
        <f t="shared" si="17"/>
        <v>121</v>
      </c>
      <c r="I118" s="7" t="str">
        <f t="shared" si="18"/>
        <v>geoma</v>
      </c>
      <c r="J118" s="6" t="str">
        <f>IFERROR(_xlfn.CONCAT(_xlfn.TEXTSPLIT(SUBSTITUTE(SUBSTITUTE(LOWER(Q118),"æ","ae"), " de ", " "),{"b. ","ss. ","s. ","ss.mi ","in ",".",","," et","sanctae ","ę","ũ"})), "")</f>
        <v>georgii martyris</v>
      </c>
      <c r="K118" s="6">
        <f t="shared" si="19"/>
        <v>8</v>
      </c>
      <c r="L118" s="6" t="str">
        <f t="shared" si="20"/>
        <v>martyris</v>
      </c>
      <c r="M118" s="6"/>
      <c r="N118" s="1">
        <v>45770</v>
      </c>
      <c r="O118" s="3" t="s">
        <v>471</v>
      </c>
      <c r="P118" s="4" t="s">
        <v>9</v>
      </c>
      <c r="Q118" s="2" t="s">
        <v>57</v>
      </c>
      <c r="R118" s="9" t="s">
        <v>637</v>
      </c>
      <c r="S118" s="2" t="s">
        <v>140</v>
      </c>
    </row>
    <row r="119" spans="1:19" ht="14.4" customHeight="1" x14ac:dyDescent="0.3">
      <c r="A119" s="7" t="str">
        <f t="shared" si="12"/>
        <v>fix.0423.121.adaep</v>
      </c>
      <c r="B119" s="7" t="str">
        <f t="shared" si="13"/>
        <v>121</v>
      </c>
      <c r="C119" s="8" t="str">
        <f t="shared" si="14"/>
        <v>S. Adalberti, episcopi et martyris</v>
      </c>
      <c r="D119" s="8" t="str">
        <f t="shared" si="14"/>
        <v>St. Adalbert, Bishop and Martyr</v>
      </c>
      <c r="E119" s="8" t="str">
        <f t="shared" si="15"/>
        <v>성 아달베르트 주교 순교자</v>
      </c>
      <c r="F119" s="7" t="s">
        <v>578</v>
      </c>
      <c r="G119" s="7" t="str">
        <f t="shared" si="16"/>
        <v>0423</v>
      </c>
      <c r="H119" s="7" t="str">
        <f t="shared" si="17"/>
        <v>121</v>
      </c>
      <c r="I119" s="7" t="str">
        <f t="shared" si="18"/>
        <v>adaep</v>
      </c>
      <c r="J119" s="6" t="str">
        <f>IFERROR(_xlfn.CONCAT(_xlfn.TEXTSPLIT(SUBSTITUTE(SUBSTITUTE(LOWER(Q119),"æ","ae"), " de ", " "),{"b. ","ss. ","s. ","ss.mi ","in ",".",","," et","sanctae ","ę","ũ"})), "")</f>
        <v>adalberti episcopi martyris</v>
      </c>
      <c r="K119" s="6">
        <f t="shared" si="19"/>
        <v>10</v>
      </c>
      <c r="L119" s="6" t="str">
        <f t="shared" si="20"/>
        <v>episcopimartyris</v>
      </c>
      <c r="M119" s="6"/>
      <c r="N119" s="1">
        <v>45770</v>
      </c>
      <c r="O119" s="3" t="s">
        <v>471</v>
      </c>
      <c r="P119" s="4" t="s">
        <v>9</v>
      </c>
      <c r="Q119" s="2" t="s">
        <v>58</v>
      </c>
      <c r="R119" s="9" t="s">
        <v>638</v>
      </c>
      <c r="S119" s="2" t="s">
        <v>141</v>
      </c>
    </row>
    <row r="120" spans="1:19" ht="14.4" customHeight="1" x14ac:dyDescent="0.3">
      <c r="A120" s="7" t="str">
        <f t="shared" si="12"/>
        <v>fix.0424.121.fidsi</v>
      </c>
      <c r="B120" s="7" t="str">
        <f t="shared" si="13"/>
        <v>121</v>
      </c>
      <c r="C120" s="8" t="str">
        <f t="shared" si="14"/>
        <v>S. Fidelis de Sigmaringen, presbyteri et martyris</v>
      </c>
      <c r="D120" s="8" t="str">
        <f t="shared" si="14"/>
        <v>St. Fidelis of Sigmaringen, Priest and Martyr</v>
      </c>
      <c r="E120" s="8" t="str">
        <f t="shared" si="15"/>
        <v>식마린겐의 성 피델리스 사제 순교자</v>
      </c>
      <c r="F120" s="7" t="s">
        <v>578</v>
      </c>
      <c r="G120" s="7" t="str">
        <f t="shared" si="16"/>
        <v>0424</v>
      </c>
      <c r="H120" s="7" t="str">
        <f t="shared" si="17"/>
        <v>121</v>
      </c>
      <c r="I120" s="7" t="str">
        <f t="shared" si="18"/>
        <v>fidsi</v>
      </c>
      <c r="J120" s="6" t="str">
        <f>IFERROR(_xlfn.CONCAT(_xlfn.TEXTSPLIT(SUBSTITUTE(SUBSTITUTE(LOWER(Q120),"æ","ae"), " de ", " "),{"b. ","ss. ","s. ","ss.mi ","in ",".",","," et","sanctae ","ę","ũ"})), "")</f>
        <v>fidelis sigmaringen presbyteri martyris</v>
      </c>
      <c r="K120" s="6">
        <f t="shared" si="19"/>
        <v>8</v>
      </c>
      <c r="L120" s="6" t="str">
        <f t="shared" si="20"/>
        <v>sigmaringenpresbyterimartyris</v>
      </c>
      <c r="M120" s="6"/>
      <c r="N120" s="1">
        <v>45771</v>
      </c>
      <c r="O120" s="3" t="s">
        <v>471</v>
      </c>
      <c r="P120" s="4" t="s">
        <v>9</v>
      </c>
      <c r="Q120" s="2" t="s">
        <v>59</v>
      </c>
      <c r="R120" s="9" t="s">
        <v>639</v>
      </c>
      <c r="S120" s="2" t="s">
        <v>142</v>
      </c>
    </row>
    <row r="121" spans="1:19" ht="14.4" customHeight="1" x14ac:dyDescent="0.3">
      <c r="A121" s="7" t="str">
        <f t="shared" si="12"/>
        <v>fix.0425.071.marev</v>
      </c>
      <c r="B121" s="7" t="str">
        <f t="shared" si="13"/>
        <v>071</v>
      </c>
      <c r="C121" s="8" t="str">
        <f t="shared" si="14"/>
        <v>S. Marci, evangelistæ</v>
      </c>
      <c r="D121" s="8" t="str">
        <f t="shared" si="14"/>
        <v>St. Mark, Evangelist</v>
      </c>
      <c r="E121" s="8" t="str">
        <f t="shared" si="15"/>
        <v>성 마르코 복음사가 축일</v>
      </c>
      <c r="F121" s="7" t="s">
        <v>578</v>
      </c>
      <c r="G121" s="7" t="str">
        <f t="shared" si="16"/>
        <v>0425</v>
      </c>
      <c r="H121" s="7" t="str">
        <f t="shared" si="17"/>
        <v>071</v>
      </c>
      <c r="I121" s="7" t="str">
        <f t="shared" si="18"/>
        <v>marev</v>
      </c>
      <c r="J121" s="6" t="str">
        <f>IFERROR(_xlfn.CONCAT(_xlfn.TEXTSPLIT(SUBSTITUTE(SUBSTITUTE(LOWER(Q121),"æ","ae"), " de ", " "),{"b. ","ss. ","s. ","ss.mi ","in ",".",","," et","sanctae ","ę","ũ"})), "")</f>
        <v>marci evangelistae</v>
      </c>
      <c r="K121" s="6">
        <f t="shared" si="19"/>
        <v>6</v>
      </c>
      <c r="L121" s="6" t="str">
        <f t="shared" si="20"/>
        <v>evangelistae</v>
      </c>
      <c r="M121" s="6"/>
      <c r="N121" s="1">
        <v>45772</v>
      </c>
      <c r="O121" s="3" t="s">
        <v>463</v>
      </c>
      <c r="P121" s="4" t="s">
        <v>20</v>
      </c>
      <c r="Q121" s="2" t="s">
        <v>60</v>
      </c>
      <c r="R121" s="9" t="s">
        <v>640</v>
      </c>
      <c r="S121" s="2" t="s">
        <v>143</v>
      </c>
    </row>
    <row r="122" spans="1:19" ht="14.4" customHeight="1" x14ac:dyDescent="0.3">
      <c r="A122" s="7" t="str">
        <f t="shared" si="12"/>
        <v/>
      </c>
      <c r="B122" s="7" t="str">
        <f t="shared" si="13"/>
        <v/>
      </c>
      <c r="C122" s="8" t="str">
        <f t="shared" si="14"/>
        <v/>
      </c>
      <c r="D122" s="8" t="str">
        <f t="shared" si="14"/>
        <v/>
      </c>
      <c r="E122" s="8" t="str">
        <f t="shared" si="15"/>
        <v/>
      </c>
      <c r="F122" s="7" t="s">
        <v>578</v>
      </c>
      <c r="G122" s="7" t="str">
        <f t="shared" si="16"/>
        <v>0426</v>
      </c>
      <c r="H122" s="7" t="str">
        <f t="shared" si="17"/>
        <v/>
      </c>
      <c r="I122" s="7" t="str">
        <f t="shared" si="18"/>
        <v/>
      </c>
      <c r="J122" s="6" t="str">
        <f>IFERROR(_xlfn.CONCAT(_xlfn.TEXTSPLIT(SUBSTITUTE(SUBSTITUTE(LOWER(Q122),"æ","ae"), " de ", " "),{"b. ","ss. ","s. ","ss.mi ","in ",".",","," et","sanctae ","ę","ũ"})), "")</f>
        <v/>
      </c>
      <c r="K122" s="6" t="str">
        <f t="shared" si="19"/>
        <v/>
      </c>
      <c r="L122" s="6" t="str">
        <f t="shared" si="20"/>
        <v/>
      </c>
      <c r="M122" s="6"/>
      <c r="N122" s="1">
        <v>45773</v>
      </c>
    </row>
    <row r="123" spans="1:19" ht="14.4" customHeight="1" x14ac:dyDescent="0.3">
      <c r="A123" s="7" t="str">
        <f t="shared" si="12"/>
        <v/>
      </c>
      <c r="B123" s="7" t="str">
        <f t="shared" si="13"/>
        <v/>
      </c>
      <c r="C123" s="8" t="str">
        <f t="shared" si="14"/>
        <v/>
      </c>
      <c r="D123" s="8" t="str">
        <f t="shared" si="14"/>
        <v/>
      </c>
      <c r="E123" s="8" t="str">
        <f t="shared" si="15"/>
        <v/>
      </c>
      <c r="F123" s="7" t="s">
        <v>578</v>
      </c>
      <c r="G123" s="7" t="str">
        <f t="shared" si="16"/>
        <v>0427</v>
      </c>
      <c r="H123" s="7" t="str">
        <f t="shared" si="17"/>
        <v/>
      </c>
      <c r="I123" s="7" t="str">
        <f t="shared" si="18"/>
        <v/>
      </c>
      <c r="J123" s="6" t="str">
        <f>IFERROR(_xlfn.CONCAT(_xlfn.TEXTSPLIT(SUBSTITUTE(SUBSTITUTE(LOWER(Q123),"æ","ae"), " de ", " "),{"b. ","ss. ","s. ","ss.mi ","in ",".",","," et","sanctae ","ę","ũ"})), "")</f>
        <v/>
      </c>
      <c r="K123" s="6" t="str">
        <f t="shared" si="19"/>
        <v/>
      </c>
      <c r="L123" s="6" t="str">
        <f t="shared" si="20"/>
        <v/>
      </c>
      <c r="M123" s="6"/>
      <c r="N123" s="1">
        <v>45774</v>
      </c>
    </row>
    <row r="124" spans="1:19" ht="14.4" customHeight="1" x14ac:dyDescent="0.3">
      <c r="A124" s="7" t="str">
        <f t="shared" si="12"/>
        <v>fix.0428.121.petch</v>
      </c>
      <c r="B124" s="7" t="str">
        <f t="shared" si="13"/>
        <v>121</v>
      </c>
      <c r="C124" s="8" t="str">
        <f t="shared" si="14"/>
        <v>S. Petri Chanel, presbyteri et martyris</v>
      </c>
      <c r="D124" s="8" t="str">
        <f t="shared" si="14"/>
        <v>St. Peter Chanel, Priest and Martyr</v>
      </c>
      <c r="E124" s="8" t="str">
        <f t="shared" si="15"/>
        <v>성 베드로 샤넬 사제 순교자</v>
      </c>
      <c r="F124" s="7" t="s">
        <v>578</v>
      </c>
      <c r="G124" s="7" t="str">
        <f t="shared" si="16"/>
        <v>0428</v>
      </c>
      <c r="H124" s="7" t="str">
        <f t="shared" si="17"/>
        <v>121</v>
      </c>
      <c r="I124" s="7" t="str">
        <f t="shared" si="18"/>
        <v>petch</v>
      </c>
      <c r="J124" s="6" t="str">
        <f>IFERROR(_xlfn.CONCAT(_xlfn.TEXTSPLIT(SUBSTITUTE(SUBSTITUTE(LOWER(Q124),"æ","ae"), " de ", " "),{"b. ","ss. ","s. ","ss.mi ","in ",".",","," et","sanctae ","ę","ũ"})), "")</f>
        <v>petri chanel presbyteri martyris</v>
      </c>
      <c r="K124" s="6">
        <f t="shared" si="19"/>
        <v>6</v>
      </c>
      <c r="L124" s="6" t="str">
        <f t="shared" si="20"/>
        <v>chanelpresbyterimartyris</v>
      </c>
      <c r="M124" s="6"/>
      <c r="N124" s="1">
        <v>45775</v>
      </c>
      <c r="O124" s="3" t="s">
        <v>471</v>
      </c>
      <c r="P124" s="4" t="s">
        <v>9</v>
      </c>
      <c r="Q124" s="2" t="s">
        <v>61</v>
      </c>
      <c r="R124" s="9" t="s">
        <v>641</v>
      </c>
      <c r="S124" s="2" t="s">
        <v>144</v>
      </c>
    </row>
    <row r="125" spans="1:19" ht="14.4" customHeight="1" x14ac:dyDescent="0.3">
      <c r="A125" s="7" t="str">
        <f t="shared" si="12"/>
        <v>fix.0428.121.ludma</v>
      </c>
      <c r="B125" s="7" t="str">
        <f t="shared" si="13"/>
        <v>121</v>
      </c>
      <c r="C125" s="8" t="str">
        <f t="shared" si="14"/>
        <v>S. Ludovici Mariæ Grignion de Montfort, presbyteri</v>
      </c>
      <c r="D125" s="8" t="str">
        <f t="shared" si="14"/>
        <v>St. Louis Grignion de Montfort, Priest</v>
      </c>
      <c r="E125" s="8" t="str">
        <f t="shared" si="15"/>
        <v>성 루도비코 마리아 그리뇽 드 몽포르 사제</v>
      </c>
      <c r="F125" s="7" t="s">
        <v>578</v>
      </c>
      <c r="G125" s="7" t="str">
        <f t="shared" si="16"/>
        <v>0428</v>
      </c>
      <c r="H125" s="7" t="str">
        <f t="shared" si="17"/>
        <v>121</v>
      </c>
      <c r="I125" s="7" t="str">
        <f t="shared" si="18"/>
        <v>ludma</v>
      </c>
      <c r="J125" s="6" t="str">
        <f>IFERROR(_xlfn.CONCAT(_xlfn.TEXTSPLIT(SUBSTITUTE(SUBSTITUTE(LOWER(Q125),"æ","ae"), " de ", " "),{"b. ","ss. ","s. ","ss.mi ","in ",".",","," et","sanctae ","ę","ũ"})), "")</f>
        <v>ludovici mariae grignion montfort presbyteri</v>
      </c>
      <c r="K125" s="6">
        <f t="shared" si="19"/>
        <v>9</v>
      </c>
      <c r="L125" s="6" t="str">
        <f t="shared" si="20"/>
        <v>mariaegrignionmontfortpresbyteri</v>
      </c>
      <c r="M125" s="6"/>
      <c r="N125" s="1">
        <v>45775</v>
      </c>
      <c r="O125" s="3" t="s">
        <v>471</v>
      </c>
      <c r="P125" s="4" t="s">
        <v>9</v>
      </c>
      <c r="Q125" s="2" t="s">
        <v>62</v>
      </c>
      <c r="R125" s="9" t="s">
        <v>642</v>
      </c>
      <c r="S125" s="2" t="s">
        <v>145</v>
      </c>
    </row>
    <row r="126" spans="1:19" ht="14.4" customHeight="1" x14ac:dyDescent="0.3">
      <c r="A126" s="7" t="str">
        <f t="shared" si="12"/>
        <v>fix.0429.101.catse</v>
      </c>
      <c r="B126" s="7" t="str">
        <f t="shared" si="13"/>
        <v>101</v>
      </c>
      <c r="C126" s="8" t="str">
        <f t="shared" si="14"/>
        <v>S. Catharinæ Senensis, virginis et Ecclesiæ doctoris</v>
      </c>
      <c r="D126" s="8" t="str">
        <f t="shared" si="14"/>
        <v>St. Catherine of Siena, Virgin and Doctor of the Church</v>
      </c>
      <c r="E126" s="8" t="str">
        <f t="shared" si="15"/>
        <v>시에나의 성녀 가타리나 동정 학자 기념일</v>
      </c>
      <c r="F126" s="7" t="s">
        <v>578</v>
      </c>
      <c r="G126" s="7" t="str">
        <f t="shared" si="16"/>
        <v>0429</v>
      </c>
      <c r="H126" s="7" t="str">
        <f t="shared" si="17"/>
        <v>101</v>
      </c>
      <c r="I126" s="7" t="str">
        <f t="shared" si="18"/>
        <v>catse</v>
      </c>
      <c r="J126" s="6" t="str">
        <f>IFERROR(_xlfn.CONCAT(_xlfn.TEXTSPLIT(SUBSTITUTE(SUBSTITUTE(LOWER(Q126),"æ","ae"), " de ", " "),{"b. ","ss. ","s. ","ss.mi ","in ",".",","," et","sanctae ","ę","ũ"})), "")</f>
        <v>catharinae senensis virginis ecclesiae doctoris</v>
      </c>
      <c r="K126" s="6">
        <f t="shared" si="19"/>
        <v>11</v>
      </c>
      <c r="L126" s="6" t="str">
        <f t="shared" si="20"/>
        <v>senensisvirginisecclesiaedoctoris</v>
      </c>
      <c r="M126" s="6"/>
      <c r="N126" s="1">
        <v>45776</v>
      </c>
      <c r="O126" s="3">
        <v>101</v>
      </c>
      <c r="P126" s="4" t="s">
        <v>8</v>
      </c>
      <c r="Q126" s="2" t="s">
        <v>63</v>
      </c>
      <c r="R126" s="9" t="s">
        <v>643</v>
      </c>
      <c r="S126" s="2" t="s">
        <v>146</v>
      </c>
    </row>
    <row r="127" spans="1:19" ht="14.4" customHeight="1" x14ac:dyDescent="0.3">
      <c r="A127" s="7" t="str">
        <f t="shared" si="12"/>
        <v>fix.0430.121.piivp</v>
      </c>
      <c r="B127" s="7" t="str">
        <f t="shared" si="13"/>
        <v>121</v>
      </c>
      <c r="C127" s="8" t="str">
        <f t="shared" si="14"/>
        <v>S. Pii V, papæ</v>
      </c>
      <c r="D127" s="8" t="str">
        <f t="shared" si="14"/>
        <v>St. Pius V, Pope</v>
      </c>
      <c r="E127" s="8" t="str">
        <f t="shared" si="15"/>
        <v>성 비오 5세 교황</v>
      </c>
      <c r="F127" s="7" t="s">
        <v>578</v>
      </c>
      <c r="G127" s="7" t="str">
        <f t="shared" si="16"/>
        <v>0430</v>
      </c>
      <c r="H127" s="7" t="str">
        <f t="shared" si="17"/>
        <v>121</v>
      </c>
      <c r="I127" s="7" t="str">
        <f t="shared" si="18"/>
        <v>piivp</v>
      </c>
      <c r="J127" s="6" t="str">
        <f>IFERROR(_xlfn.CONCAT(_xlfn.TEXTSPLIT(SUBSTITUTE(SUBSTITUTE(LOWER(Q127),"æ","ae"), " de ", " "),{"b. ","ss. ","s. ","ss.mi ","in ",".",","," et","sanctae ","ę","ũ"})), "")</f>
        <v>pii v papae</v>
      </c>
      <c r="K127" s="6">
        <f t="shared" si="19"/>
        <v>4</v>
      </c>
      <c r="L127" s="6" t="str">
        <f t="shared" si="20"/>
        <v>vpapae</v>
      </c>
      <c r="M127" s="6"/>
      <c r="N127" s="1">
        <v>45777</v>
      </c>
      <c r="O127" s="3" t="s">
        <v>471</v>
      </c>
      <c r="P127" s="4" t="s">
        <v>9</v>
      </c>
      <c r="Q127" s="2" t="s">
        <v>64</v>
      </c>
      <c r="R127" s="9" t="s">
        <v>644</v>
      </c>
      <c r="S127" s="2" t="s">
        <v>147</v>
      </c>
    </row>
    <row r="128" spans="1:19" ht="14.4" customHeight="1" x14ac:dyDescent="0.3">
      <c r="A128" s="7" t="str">
        <f t="shared" si="12"/>
        <v>fix.0501.121.iosop</v>
      </c>
      <c r="B128" s="7" t="str">
        <f t="shared" si="13"/>
        <v>121</v>
      </c>
      <c r="C128" s="8" t="str">
        <f t="shared" si="14"/>
        <v>S. Ioseph Opificis</v>
      </c>
      <c r="D128" s="8" t="str">
        <f t="shared" si="14"/>
        <v>St. Joseph the Worker</v>
      </c>
      <c r="E128" s="8" t="str">
        <f t="shared" si="15"/>
        <v>노동자 성 요셉</v>
      </c>
      <c r="F128" s="7" t="s">
        <v>578</v>
      </c>
      <c r="G128" s="7" t="str">
        <f t="shared" si="16"/>
        <v>0501</v>
      </c>
      <c r="H128" s="7" t="str">
        <f t="shared" si="17"/>
        <v>121</v>
      </c>
      <c r="I128" s="7" t="str">
        <f t="shared" si="18"/>
        <v>iosop</v>
      </c>
      <c r="J128" s="6" t="str">
        <f>IFERROR(_xlfn.CONCAT(_xlfn.TEXTSPLIT(SUBSTITUTE(SUBSTITUTE(LOWER(Q128),"æ","ae"), " de ", " "),{"b. ","ss. ","s. ","ss.mi ","in ",".",","," et","sanctae ","ę","ũ"})), "")</f>
        <v>ioseph opificis</v>
      </c>
      <c r="K128" s="6">
        <f t="shared" si="19"/>
        <v>7</v>
      </c>
      <c r="L128" s="6" t="str">
        <f t="shared" si="20"/>
        <v>opificis</v>
      </c>
      <c r="M128" s="6"/>
      <c r="N128" s="1">
        <v>45778</v>
      </c>
      <c r="O128" s="3" t="s">
        <v>471</v>
      </c>
      <c r="P128" s="4" t="s">
        <v>9</v>
      </c>
      <c r="Q128" s="2" t="s">
        <v>65</v>
      </c>
      <c r="R128" s="9" t="s">
        <v>645</v>
      </c>
      <c r="S128" s="2" t="s">
        <v>148</v>
      </c>
    </row>
    <row r="129" spans="1:20" ht="14.4" customHeight="1" x14ac:dyDescent="0.3">
      <c r="A129" s="7" t="str">
        <f t="shared" si="12"/>
        <v>fix.0502.101.athep</v>
      </c>
      <c r="B129" s="7" t="str">
        <f t="shared" si="13"/>
        <v>101</v>
      </c>
      <c r="C129" s="8" t="str">
        <f t="shared" si="14"/>
        <v>S. Athanasii, episcopi et Ecclesiæ doctoris</v>
      </c>
      <c r="D129" s="8" t="str">
        <f t="shared" si="14"/>
        <v>St. Athanasius, Bishop and Doctor of the Church</v>
      </c>
      <c r="E129" s="8" t="str">
        <f t="shared" si="15"/>
        <v>성 아타나시오 주교 학자 기념일</v>
      </c>
      <c r="F129" s="7" t="s">
        <v>578</v>
      </c>
      <c r="G129" s="7" t="str">
        <f t="shared" si="16"/>
        <v>0502</v>
      </c>
      <c r="H129" s="7" t="str">
        <f t="shared" si="17"/>
        <v>101</v>
      </c>
      <c r="I129" s="7" t="str">
        <f t="shared" si="18"/>
        <v>athep</v>
      </c>
      <c r="J129" s="6" t="str">
        <f>IFERROR(_xlfn.CONCAT(_xlfn.TEXTSPLIT(SUBSTITUTE(SUBSTITUTE(LOWER(Q129),"æ","ae"), " de ", " "),{"b. ","ss. ","s. ","ss.mi ","in ",".",","," et","sanctae ","ę","ũ"})), "")</f>
        <v>athanasii episcopi ecclesiae doctoris</v>
      </c>
      <c r="K129" s="6">
        <f t="shared" si="19"/>
        <v>10</v>
      </c>
      <c r="L129" s="6" t="str">
        <f t="shared" si="20"/>
        <v>episcopiecclesiaedoctoris</v>
      </c>
      <c r="M129" s="6"/>
      <c r="N129" s="1">
        <v>45779</v>
      </c>
      <c r="O129" s="3">
        <v>101</v>
      </c>
      <c r="P129" s="4" t="s">
        <v>8</v>
      </c>
      <c r="Q129" s="2" t="s">
        <v>66</v>
      </c>
      <c r="R129" s="9" t="s">
        <v>646</v>
      </c>
      <c r="S129" s="2" t="s">
        <v>149</v>
      </c>
    </row>
    <row r="130" spans="1:20" ht="14.4" customHeight="1" x14ac:dyDescent="0.3">
      <c r="A130" s="7" t="str">
        <f t="shared" si="12"/>
        <v>fix.0503.071.phiia</v>
      </c>
      <c r="B130" s="7" t="str">
        <f t="shared" si="13"/>
        <v>071</v>
      </c>
      <c r="C130" s="8" t="str">
        <f t="shared" si="14"/>
        <v>Ss. Philippi et Iacobi, apostolorum</v>
      </c>
      <c r="D130" s="8" t="str">
        <f t="shared" si="14"/>
        <v>Sts. Philip and James, Apostles</v>
      </c>
      <c r="E130" s="8" t="str">
        <f t="shared" si="15"/>
        <v>성 필립보와 성 야고보 사도 축일</v>
      </c>
      <c r="F130" s="7" t="s">
        <v>578</v>
      </c>
      <c r="G130" s="7" t="str">
        <f t="shared" si="16"/>
        <v>0503</v>
      </c>
      <c r="H130" s="7" t="str">
        <f t="shared" si="17"/>
        <v>071</v>
      </c>
      <c r="I130" s="7" t="str">
        <f t="shared" si="18"/>
        <v>phiia</v>
      </c>
      <c r="J130" s="6" t="str">
        <f>IFERROR(_xlfn.CONCAT(_xlfn.TEXTSPLIT(SUBSTITUTE(SUBSTITUTE(LOWER(Q130),"æ","ae"), " de ", " "),{"b. ","ss. ","s. ","ss.mi ","in ",".",","," et","sanctae ","ę","ũ"})), "")</f>
        <v>philippi iacobi apostolorum</v>
      </c>
      <c r="K130" s="6">
        <f t="shared" si="19"/>
        <v>9</v>
      </c>
      <c r="L130" s="6" t="str">
        <f t="shared" si="20"/>
        <v>iacobiapostolorum</v>
      </c>
      <c r="M130" s="6"/>
      <c r="N130" s="1">
        <v>45780</v>
      </c>
      <c r="O130" s="3" t="s">
        <v>463</v>
      </c>
      <c r="P130" s="4" t="s">
        <v>20</v>
      </c>
      <c r="Q130" s="2" t="s">
        <v>67</v>
      </c>
      <c r="R130" s="9" t="s">
        <v>647</v>
      </c>
      <c r="S130" s="2" t="s">
        <v>150</v>
      </c>
    </row>
    <row r="131" spans="1:20" ht="14.4" customHeight="1" x14ac:dyDescent="0.3">
      <c r="A131" s="7" t="str">
        <f t="shared" ref="A131:A194" si="21">IF(OR(F131="",G131="",H131="",I131=""),"",_xlfn.CONCAT(F131,".",G131,".",H131,".",I131))</f>
        <v/>
      </c>
      <c r="B131" s="7" t="str">
        <f t="shared" si="13"/>
        <v/>
      </c>
      <c r="C131" s="8" t="str">
        <f t="shared" si="14"/>
        <v/>
      </c>
      <c r="D131" s="8" t="str">
        <f t="shared" si="14"/>
        <v/>
      </c>
      <c r="E131" s="8" t="str">
        <f t="shared" si="15"/>
        <v/>
      </c>
      <c r="F131" s="7" t="s">
        <v>578</v>
      </c>
      <c r="G131" s="7" t="str">
        <f t="shared" si="16"/>
        <v>0504</v>
      </c>
      <c r="H131" s="7" t="str">
        <f t="shared" si="17"/>
        <v/>
      </c>
      <c r="I131" s="7" t="str">
        <f t="shared" si="18"/>
        <v/>
      </c>
      <c r="J131" s="6" t="str">
        <f>IFERROR(_xlfn.CONCAT(_xlfn.TEXTSPLIT(SUBSTITUTE(SUBSTITUTE(LOWER(Q131),"æ","ae"), " de ", " "),{"b. ","ss. ","s. ","ss.mi ","in ",".",","," et","sanctae ","ę","ũ"})), "")</f>
        <v/>
      </c>
      <c r="K131" s="6" t="str">
        <f t="shared" si="19"/>
        <v/>
      </c>
      <c r="L131" s="6" t="str">
        <f t="shared" si="20"/>
        <v/>
      </c>
      <c r="M131" s="6"/>
      <c r="N131" s="1">
        <v>45781</v>
      </c>
    </row>
    <row r="132" spans="1:20" ht="14.4" customHeight="1" x14ac:dyDescent="0.3">
      <c r="A132" s="7" t="str">
        <f t="shared" si="21"/>
        <v/>
      </c>
      <c r="B132" s="7" t="str">
        <f t="shared" ref="B132:B195" si="22">IF(O132="","",TEXT(O132,"0##"))</f>
        <v/>
      </c>
      <c r="C132" s="8" t="str">
        <f t="shared" ref="C132:D195" si="23">IF(Q132="","",TEXT(Q132,""))</f>
        <v/>
      </c>
      <c r="D132" s="8" t="str">
        <f t="shared" si="23"/>
        <v/>
      </c>
      <c r="E132" s="8" t="str">
        <f t="shared" ref="E132:E195" si="24">IF(S132="","",TEXT(S132,""))</f>
        <v/>
      </c>
      <c r="F132" s="7" t="s">
        <v>578</v>
      </c>
      <c r="G132" s="7" t="str">
        <f t="shared" ref="G132:G195" si="25">TEXT(N132, "mmdd")</f>
        <v>0505</v>
      </c>
      <c r="H132" s="7" t="str">
        <f t="shared" ref="H132:H195" si="26">IF(ISBLANK(O132), "", TEXT(O132, "0##"))</f>
        <v/>
      </c>
      <c r="I132" s="7" t="str">
        <f t="shared" ref="I132:I195" si="27">IF(J132="","",IF(K132="",LEFT(J132,5),IF(K132&lt;4,_xlfn.CONCAT(LEFT(J132,K132-1),LEFT(L132,5-K132+1)),_xlfn.CONCAT(LEFT(J132,3),LEFT(L132,2)))))</f>
        <v/>
      </c>
      <c r="J132" s="6" t="str">
        <f>IFERROR(_xlfn.CONCAT(_xlfn.TEXTSPLIT(SUBSTITUTE(SUBSTITUTE(LOWER(Q132),"æ","ae"), " de ", " "),{"b. ","ss. ","s. ","ss.mi ","in ",".",","," et","sanctae ","ę","ũ"})), "")</f>
        <v/>
      </c>
      <c r="K132" s="6" t="str">
        <f t="shared" ref="K132:K195" si="28">IFERROR(FIND(" ", J132), "")</f>
        <v/>
      </c>
      <c r="L132" s="6" t="str">
        <f t="shared" ref="L132:L195" si="29">SUBSTITUTE(IFERROR(RIGHT(J132, LEN(J132)-K132), ""), " ", "")</f>
        <v/>
      </c>
      <c r="M132" s="6"/>
      <c r="N132" s="1">
        <v>45782</v>
      </c>
    </row>
    <row r="133" spans="1:20" ht="14.4" customHeight="1" x14ac:dyDescent="0.3">
      <c r="A133" s="7" t="str">
        <f t="shared" si="21"/>
        <v/>
      </c>
      <c r="B133" s="7" t="str">
        <f t="shared" si="22"/>
        <v/>
      </c>
      <c r="C133" s="8" t="str">
        <f t="shared" si="23"/>
        <v/>
      </c>
      <c r="D133" s="8" t="str">
        <f t="shared" si="23"/>
        <v/>
      </c>
      <c r="E133" s="8" t="str">
        <f t="shared" si="24"/>
        <v/>
      </c>
      <c r="F133" s="7" t="s">
        <v>578</v>
      </c>
      <c r="G133" s="7" t="str">
        <f t="shared" si="25"/>
        <v>0506</v>
      </c>
      <c r="H133" s="7" t="str">
        <f t="shared" si="26"/>
        <v/>
      </c>
      <c r="I133" s="7" t="str">
        <f t="shared" si="27"/>
        <v/>
      </c>
      <c r="J133" s="6" t="str">
        <f>IFERROR(_xlfn.CONCAT(_xlfn.TEXTSPLIT(SUBSTITUTE(SUBSTITUTE(LOWER(Q133),"æ","ae"), " de ", " "),{"b. ","ss. ","s. ","ss.mi ","in ",".",","," et","sanctae ","ę","ũ"})), "")</f>
        <v/>
      </c>
      <c r="K133" s="6" t="str">
        <f t="shared" si="28"/>
        <v/>
      </c>
      <c r="L133" s="6" t="str">
        <f t="shared" si="29"/>
        <v/>
      </c>
      <c r="M133" s="6"/>
      <c r="N133" s="1">
        <v>45783</v>
      </c>
    </row>
    <row r="134" spans="1:20" ht="14.4" customHeight="1" x14ac:dyDescent="0.3">
      <c r="A134" s="7" t="str">
        <f t="shared" si="21"/>
        <v/>
      </c>
      <c r="B134" s="7" t="str">
        <f t="shared" si="22"/>
        <v/>
      </c>
      <c r="C134" s="8" t="str">
        <f t="shared" si="23"/>
        <v/>
      </c>
      <c r="D134" s="8" t="str">
        <f t="shared" si="23"/>
        <v/>
      </c>
      <c r="E134" s="8" t="str">
        <f t="shared" si="24"/>
        <v/>
      </c>
      <c r="F134" s="7" t="s">
        <v>578</v>
      </c>
      <c r="G134" s="7" t="str">
        <f t="shared" si="25"/>
        <v>0507</v>
      </c>
      <c r="H134" s="7" t="str">
        <f t="shared" si="26"/>
        <v/>
      </c>
      <c r="I134" s="7" t="str">
        <f t="shared" si="27"/>
        <v/>
      </c>
      <c r="J134" s="6" t="str">
        <f>IFERROR(_xlfn.CONCAT(_xlfn.TEXTSPLIT(SUBSTITUTE(SUBSTITUTE(LOWER(Q134),"æ","ae"), " de ", " "),{"b. ","ss. ","s. ","ss.mi ","in ",".",","," et","sanctae ","ę","ũ"})), "")</f>
        <v/>
      </c>
      <c r="K134" s="6" t="str">
        <f t="shared" si="28"/>
        <v/>
      </c>
      <c r="L134" s="6" t="str">
        <f t="shared" si="29"/>
        <v/>
      </c>
      <c r="M134" s="6"/>
      <c r="N134" s="1">
        <v>45784</v>
      </c>
    </row>
    <row r="135" spans="1:20" ht="14.4" customHeight="1" x14ac:dyDescent="0.3">
      <c r="A135" s="7" t="str">
        <f t="shared" si="21"/>
        <v/>
      </c>
      <c r="B135" s="7" t="str">
        <f t="shared" si="22"/>
        <v/>
      </c>
      <c r="C135" s="8" t="str">
        <f t="shared" si="23"/>
        <v/>
      </c>
      <c r="D135" s="8" t="str">
        <f t="shared" si="23"/>
        <v/>
      </c>
      <c r="E135" s="8" t="str">
        <f t="shared" si="24"/>
        <v/>
      </c>
      <c r="F135" s="7" t="s">
        <v>578</v>
      </c>
      <c r="G135" s="7" t="str">
        <f t="shared" si="25"/>
        <v>0508</v>
      </c>
      <c r="H135" s="7" t="str">
        <f t="shared" si="26"/>
        <v/>
      </c>
      <c r="I135" s="7" t="str">
        <f t="shared" si="27"/>
        <v/>
      </c>
      <c r="J135" s="6" t="str">
        <f>IFERROR(_xlfn.CONCAT(_xlfn.TEXTSPLIT(SUBSTITUTE(SUBSTITUTE(LOWER(Q135),"æ","ae"), " de ", " "),{"b. ","ss. ","s. ","ss.mi ","in ",".",","," et","sanctae ","ę","ũ"})), "")</f>
        <v/>
      </c>
      <c r="K135" s="6" t="str">
        <f t="shared" si="28"/>
        <v/>
      </c>
      <c r="L135" s="6" t="str">
        <f t="shared" si="29"/>
        <v/>
      </c>
      <c r="M135" s="6"/>
      <c r="N135" s="1">
        <v>45785</v>
      </c>
    </row>
    <row r="136" spans="1:20" ht="14.4" customHeight="1" x14ac:dyDescent="0.3">
      <c r="A136" s="7" t="str">
        <f t="shared" si="21"/>
        <v/>
      </c>
      <c r="B136" s="7" t="str">
        <f t="shared" si="22"/>
        <v/>
      </c>
      <c r="C136" s="8" t="str">
        <f t="shared" si="23"/>
        <v/>
      </c>
      <c r="D136" s="8" t="str">
        <f t="shared" si="23"/>
        <v/>
      </c>
      <c r="E136" s="8" t="str">
        <f t="shared" si="24"/>
        <v/>
      </c>
      <c r="F136" s="7" t="s">
        <v>578</v>
      </c>
      <c r="G136" s="7" t="str">
        <f t="shared" si="25"/>
        <v>0509</v>
      </c>
      <c r="H136" s="7" t="str">
        <f t="shared" si="26"/>
        <v/>
      </c>
      <c r="I136" s="7" t="str">
        <f t="shared" si="27"/>
        <v/>
      </c>
      <c r="J136" s="6" t="str">
        <f>IFERROR(_xlfn.CONCAT(_xlfn.TEXTSPLIT(SUBSTITUTE(SUBSTITUTE(LOWER(Q136),"æ","ae"), " de ", " "),{"b. ","ss. ","s. ","ss.mi ","in ",".",","," et","sanctae ","ę","ũ"})), "")</f>
        <v/>
      </c>
      <c r="K136" s="6" t="str">
        <f t="shared" si="28"/>
        <v/>
      </c>
      <c r="L136" s="6" t="str">
        <f t="shared" si="29"/>
        <v/>
      </c>
      <c r="M136" s="6"/>
      <c r="N136" s="1">
        <v>45786</v>
      </c>
    </row>
    <row r="137" spans="1:20" ht="14.4" customHeight="1" x14ac:dyDescent="0.3">
      <c r="A137" s="7" t="str">
        <f t="shared" si="21"/>
        <v>fix.0510.121.ioaav</v>
      </c>
      <c r="B137" s="7" t="str">
        <f t="shared" si="22"/>
        <v>121</v>
      </c>
      <c r="C137" s="8" t="str">
        <f t="shared" si="23"/>
        <v>S. Ioannis de Avila, presbyteri et Ecclesiæ doctoris</v>
      </c>
      <c r="D137" s="8" t="str">
        <f t="shared" si="23"/>
        <v/>
      </c>
      <c r="E137" s="8" t="str">
        <f t="shared" si="24"/>
        <v>아빌라의 성 요한 사제 학자</v>
      </c>
      <c r="F137" s="7" t="s">
        <v>578</v>
      </c>
      <c r="G137" s="7" t="str">
        <f t="shared" si="25"/>
        <v>0510</v>
      </c>
      <c r="H137" s="7" t="str">
        <f t="shared" si="26"/>
        <v>121</v>
      </c>
      <c r="I137" s="7" t="str">
        <f t="shared" si="27"/>
        <v>ioaav</v>
      </c>
      <c r="J137" s="6" t="str">
        <f>IFERROR(_xlfn.CONCAT(_xlfn.TEXTSPLIT(SUBSTITUTE(SUBSTITUTE(LOWER(Q137),"æ","ae"), " de ", " "),{"b. ","ss. ","s. ","ss.mi ","in ",".",","," et","sanctae ","ę","ũ"})), "")</f>
        <v>ioannis avila presbyteri ecclesiae doctoris</v>
      </c>
      <c r="K137" s="6">
        <f t="shared" si="28"/>
        <v>8</v>
      </c>
      <c r="L137" s="6" t="str">
        <f t="shared" si="29"/>
        <v>avilapresbyteriecclesiaedoctoris</v>
      </c>
      <c r="M137" s="6"/>
      <c r="N137" s="1">
        <v>45787</v>
      </c>
      <c r="O137" s="3" t="s">
        <v>471</v>
      </c>
      <c r="P137" s="4" t="s">
        <v>9</v>
      </c>
      <c r="Q137" s="2" t="s">
        <v>435</v>
      </c>
      <c r="S137" s="2" t="s">
        <v>452</v>
      </c>
      <c r="T137" t="s">
        <v>434</v>
      </c>
    </row>
    <row r="138" spans="1:20" ht="14.4" customHeight="1" x14ac:dyDescent="0.3">
      <c r="A138" s="7" t="str">
        <f t="shared" si="21"/>
        <v/>
      </c>
      <c r="B138" s="7" t="str">
        <f t="shared" si="22"/>
        <v/>
      </c>
      <c r="C138" s="8" t="str">
        <f t="shared" si="23"/>
        <v/>
      </c>
      <c r="D138" s="8" t="str">
        <f t="shared" si="23"/>
        <v/>
      </c>
      <c r="E138" s="8" t="str">
        <f t="shared" si="24"/>
        <v/>
      </c>
      <c r="F138" s="7" t="s">
        <v>578</v>
      </c>
      <c r="G138" s="7" t="str">
        <f t="shared" si="25"/>
        <v>0511</v>
      </c>
      <c r="H138" s="7" t="str">
        <f t="shared" si="26"/>
        <v/>
      </c>
      <c r="I138" s="7" t="str">
        <f t="shared" si="27"/>
        <v/>
      </c>
      <c r="J138" s="6" t="str">
        <f>IFERROR(_xlfn.CONCAT(_xlfn.TEXTSPLIT(SUBSTITUTE(SUBSTITUTE(LOWER(Q138),"æ","ae"), " de ", " "),{"b. ","ss. ","s. ","ss.mi ","in ",".",","," et","sanctae ","ę","ũ"})), "")</f>
        <v/>
      </c>
      <c r="K138" s="6" t="str">
        <f t="shared" si="28"/>
        <v/>
      </c>
      <c r="L138" s="6" t="str">
        <f t="shared" si="29"/>
        <v/>
      </c>
      <c r="M138" s="6"/>
      <c r="N138" s="1">
        <v>45788</v>
      </c>
    </row>
    <row r="139" spans="1:20" ht="14.4" customHeight="1" x14ac:dyDescent="0.3">
      <c r="A139" s="7" t="str">
        <f t="shared" si="21"/>
        <v>fix.0512.121.nerac</v>
      </c>
      <c r="B139" s="7" t="str">
        <f t="shared" si="22"/>
        <v>121</v>
      </c>
      <c r="C139" s="8" t="str">
        <f t="shared" si="23"/>
        <v>Ss. Nerei et Achillei, martyrum</v>
      </c>
      <c r="D139" s="8" t="str">
        <f t="shared" si="23"/>
        <v>Sts. Nereus and Achilleus, Martyrs</v>
      </c>
      <c r="E139" s="8" t="str">
        <f t="shared" si="24"/>
        <v>성 네레오와 성 아킬레오 순교자</v>
      </c>
      <c r="F139" s="7" t="s">
        <v>578</v>
      </c>
      <c r="G139" s="7" t="str">
        <f t="shared" si="25"/>
        <v>0512</v>
      </c>
      <c r="H139" s="7" t="str">
        <f t="shared" si="26"/>
        <v>121</v>
      </c>
      <c r="I139" s="7" t="str">
        <f t="shared" si="27"/>
        <v>nerac</v>
      </c>
      <c r="J139" s="6" t="str">
        <f>IFERROR(_xlfn.CONCAT(_xlfn.TEXTSPLIT(SUBSTITUTE(SUBSTITUTE(LOWER(Q139),"æ","ae"), " de ", " "),{"b. ","ss. ","s. ","ss.mi ","in ",".",","," et","sanctae ","ę","ũ"})), "")</f>
        <v>nerei achillei martyrum</v>
      </c>
      <c r="K139" s="6">
        <f t="shared" si="28"/>
        <v>6</v>
      </c>
      <c r="L139" s="6" t="str">
        <f t="shared" si="29"/>
        <v>achilleimartyrum</v>
      </c>
      <c r="M139" s="6"/>
      <c r="N139" s="1">
        <v>45789</v>
      </c>
      <c r="O139" s="3" t="s">
        <v>471</v>
      </c>
      <c r="P139" s="4" t="s">
        <v>9</v>
      </c>
      <c r="Q139" s="2" t="s">
        <v>68</v>
      </c>
      <c r="R139" s="9" t="s">
        <v>648</v>
      </c>
      <c r="S139" s="2" t="s">
        <v>151</v>
      </c>
    </row>
    <row r="140" spans="1:20" ht="14.4" customHeight="1" x14ac:dyDescent="0.3">
      <c r="A140" s="7" t="str">
        <f t="shared" si="21"/>
        <v>fix.0512.121.panma</v>
      </c>
      <c r="B140" s="7" t="str">
        <f t="shared" si="22"/>
        <v>121</v>
      </c>
      <c r="C140" s="8" t="str">
        <f t="shared" si="23"/>
        <v>S. Pancratii, martyris</v>
      </c>
      <c r="D140" s="8" t="str">
        <f t="shared" si="23"/>
        <v>St. Pancras, Martyr</v>
      </c>
      <c r="E140" s="8" t="str">
        <f t="shared" si="24"/>
        <v>성 판크라시오 순교자</v>
      </c>
      <c r="F140" s="7" t="s">
        <v>578</v>
      </c>
      <c r="G140" s="7" t="str">
        <f t="shared" si="25"/>
        <v>0512</v>
      </c>
      <c r="H140" s="7" t="str">
        <f t="shared" si="26"/>
        <v>121</v>
      </c>
      <c r="I140" s="7" t="str">
        <f t="shared" si="27"/>
        <v>panma</v>
      </c>
      <c r="J140" s="6" t="str">
        <f>IFERROR(_xlfn.CONCAT(_xlfn.TEXTSPLIT(SUBSTITUTE(SUBSTITUTE(LOWER(Q140),"æ","ae"), " de ", " "),{"b. ","ss. ","s. ","ss.mi ","in ",".",","," et","sanctae ","ę","ũ"})), "")</f>
        <v>pancratii martyris</v>
      </c>
      <c r="K140" s="6">
        <f t="shared" si="28"/>
        <v>10</v>
      </c>
      <c r="L140" s="6" t="str">
        <f t="shared" si="29"/>
        <v>martyris</v>
      </c>
      <c r="M140" s="6"/>
      <c r="N140" s="1">
        <v>45789</v>
      </c>
      <c r="O140" s="3" t="s">
        <v>471</v>
      </c>
      <c r="P140" s="4" t="s">
        <v>9</v>
      </c>
      <c r="Q140" s="2" t="s">
        <v>69</v>
      </c>
      <c r="R140" s="9" t="s">
        <v>649</v>
      </c>
      <c r="S140" s="2" t="s">
        <v>152</v>
      </c>
    </row>
    <row r="141" spans="1:20" ht="14.4" customHeight="1" x14ac:dyDescent="0.3">
      <c r="A141" s="7" t="str">
        <f t="shared" si="21"/>
        <v>fix.0513.121.marvi</v>
      </c>
      <c r="B141" s="7" t="str">
        <f t="shared" si="22"/>
        <v>121</v>
      </c>
      <c r="C141" s="8" t="str">
        <f t="shared" si="23"/>
        <v>B. Mariæ Virginis de Fatima</v>
      </c>
      <c r="D141" s="8" t="str">
        <f t="shared" si="23"/>
        <v>Our Lady of Fatima</v>
      </c>
      <c r="E141" s="8" t="str">
        <f t="shared" si="24"/>
        <v>파티마의 복되신 동정 마리아</v>
      </c>
      <c r="F141" s="7" t="s">
        <v>578</v>
      </c>
      <c r="G141" s="7" t="str">
        <f t="shared" si="25"/>
        <v>0513</v>
      </c>
      <c r="H141" s="7" t="str">
        <f t="shared" si="26"/>
        <v>121</v>
      </c>
      <c r="I141" s="7" t="str">
        <f t="shared" si="27"/>
        <v>marvi</v>
      </c>
      <c r="J141" s="6" t="str">
        <f>IFERROR(_xlfn.CONCAT(_xlfn.TEXTSPLIT(SUBSTITUTE(SUBSTITUTE(LOWER(Q141),"æ","ae"), " de ", " "),{"b. ","ss. ","s. ","ss.mi ","in ",".",","," et","sanctae ","ę","ũ"})), "")</f>
        <v>mariae virginis fatima</v>
      </c>
      <c r="K141" s="6">
        <f t="shared" si="28"/>
        <v>7</v>
      </c>
      <c r="L141" s="6" t="str">
        <f t="shared" si="29"/>
        <v>virginisfatima</v>
      </c>
      <c r="M141" s="6"/>
      <c r="N141" s="1">
        <v>45790</v>
      </c>
      <c r="O141" s="3" t="s">
        <v>471</v>
      </c>
      <c r="P141" s="4" t="s">
        <v>9</v>
      </c>
      <c r="Q141" s="2" t="s">
        <v>70</v>
      </c>
      <c r="R141" s="9" t="s">
        <v>650</v>
      </c>
      <c r="S141" s="2" t="s">
        <v>153</v>
      </c>
    </row>
    <row r="142" spans="1:20" ht="14.4" customHeight="1" x14ac:dyDescent="0.3">
      <c r="A142" s="7" t="str">
        <f t="shared" si="21"/>
        <v>fix.0514.071.matap</v>
      </c>
      <c r="B142" s="7" t="str">
        <f t="shared" si="22"/>
        <v>071</v>
      </c>
      <c r="C142" s="8" t="str">
        <f t="shared" si="23"/>
        <v>S. Matthiæ, apostoli</v>
      </c>
      <c r="D142" s="8" t="str">
        <f t="shared" si="23"/>
        <v>St. Matthias, Apostle</v>
      </c>
      <c r="E142" s="8" t="str">
        <f t="shared" si="24"/>
        <v>성 마티아 사도 축일</v>
      </c>
      <c r="F142" s="7" t="s">
        <v>578</v>
      </c>
      <c r="G142" s="7" t="str">
        <f t="shared" si="25"/>
        <v>0514</v>
      </c>
      <c r="H142" s="7" t="str">
        <f t="shared" si="26"/>
        <v>071</v>
      </c>
      <c r="I142" s="7" t="str">
        <f t="shared" si="27"/>
        <v>matap</v>
      </c>
      <c r="J142" s="6" t="str">
        <f>IFERROR(_xlfn.CONCAT(_xlfn.TEXTSPLIT(SUBSTITUTE(SUBSTITUTE(LOWER(Q142),"æ","ae"), " de ", " "),{"b. ","ss. ","s. ","ss.mi ","in ",".",","," et","sanctae ","ę","ũ"})), "")</f>
        <v>matthiae apostoli</v>
      </c>
      <c r="K142" s="6">
        <f t="shared" si="28"/>
        <v>9</v>
      </c>
      <c r="L142" s="6" t="str">
        <f t="shared" si="29"/>
        <v>apostoli</v>
      </c>
      <c r="M142" s="6"/>
      <c r="N142" s="1">
        <v>45791</v>
      </c>
      <c r="O142" s="3" t="s">
        <v>463</v>
      </c>
      <c r="P142" s="4" t="s">
        <v>20</v>
      </c>
      <c r="Q142" s="2" t="s">
        <v>71</v>
      </c>
      <c r="R142" s="9" t="s">
        <v>651</v>
      </c>
      <c r="S142" s="2" t="s">
        <v>154</v>
      </c>
    </row>
    <row r="143" spans="1:20" ht="14.4" customHeight="1" x14ac:dyDescent="0.3">
      <c r="A143" s="7" t="str">
        <f t="shared" si="21"/>
        <v/>
      </c>
      <c r="B143" s="7" t="str">
        <f t="shared" si="22"/>
        <v/>
      </c>
      <c r="C143" s="8" t="str">
        <f t="shared" si="23"/>
        <v/>
      </c>
      <c r="D143" s="8" t="str">
        <f t="shared" si="23"/>
        <v/>
      </c>
      <c r="E143" s="8" t="str">
        <f t="shared" si="24"/>
        <v/>
      </c>
      <c r="F143" s="7" t="s">
        <v>578</v>
      </c>
      <c r="G143" s="7" t="str">
        <f t="shared" si="25"/>
        <v>0515</v>
      </c>
      <c r="H143" s="7" t="str">
        <f t="shared" si="26"/>
        <v/>
      </c>
      <c r="I143" s="7" t="str">
        <f t="shared" si="27"/>
        <v/>
      </c>
      <c r="J143" s="6" t="str">
        <f>IFERROR(_xlfn.CONCAT(_xlfn.TEXTSPLIT(SUBSTITUTE(SUBSTITUTE(LOWER(Q143),"æ","ae"), " de ", " "),{"b. ","ss. ","s. ","ss.mi ","in ",".",","," et","sanctae ","ę","ũ"})), "")</f>
        <v/>
      </c>
      <c r="K143" s="6" t="str">
        <f t="shared" si="28"/>
        <v/>
      </c>
      <c r="L143" s="6" t="str">
        <f t="shared" si="29"/>
        <v/>
      </c>
      <c r="M143" s="6"/>
      <c r="N143" s="1">
        <v>45792</v>
      </c>
    </row>
    <row r="144" spans="1:20" ht="14.4" customHeight="1" x14ac:dyDescent="0.3">
      <c r="A144" s="7" t="str">
        <f t="shared" si="21"/>
        <v/>
      </c>
      <c r="B144" s="7" t="str">
        <f t="shared" si="22"/>
        <v/>
      </c>
      <c r="C144" s="8" t="str">
        <f t="shared" si="23"/>
        <v/>
      </c>
      <c r="D144" s="8" t="str">
        <f t="shared" si="23"/>
        <v/>
      </c>
      <c r="E144" s="8" t="str">
        <f t="shared" si="24"/>
        <v/>
      </c>
      <c r="F144" s="7" t="s">
        <v>578</v>
      </c>
      <c r="G144" s="7" t="str">
        <f t="shared" si="25"/>
        <v>0516</v>
      </c>
      <c r="H144" s="7" t="str">
        <f t="shared" si="26"/>
        <v/>
      </c>
      <c r="I144" s="7" t="str">
        <f t="shared" si="27"/>
        <v/>
      </c>
      <c r="J144" s="6" t="str">
        <f>IFERROR(_xlfn.CONCAT(_xlfn.TEXTSPLIT(SUBSTITUTE(SUBSTITUTE(LOWER(Q144),"æ","ae"), " de ", " "),{"b. ","ss. ","s. ","ss.mi ","in ",".",","," et","sanctae ","ę","ũ"})), "")</f>
        <v/>
      </c>
      <c r="K144" s="6" t="str">
        <f t="shared" si="28"/>
        <v/>
      </c>
      <c r="L144" s="6" t="str">
        <f t="shared" si="29"/>
        <v/>
      </c>
      <c r="M144" s="6"/>
      <c r="N144" s="1">
        <v>45793</v>
      </c>
    </row>
    <row r="145" spans="1:20" ht="14.4" customHeight="1" x14ac:dyDescent="0.3">
      <c r="A145" s="7" t="str">
        <f t="shared" si="21"/>
        <v/>
      </c>
      <c r="B145" s="7" t="str">
        <f t="shared" si="22"/>
        <v/>
      </c>
      <c r="C145" s="8" t="str">
        <f t="shared" si="23"/>
        <v/>
      </c>
      <c r="D145" s="8" t="str">
        <f t="shared" si="23"/>
        <v/>
      </c>
      <c r="E145" s="8" t="str">
        <f t="shared" si="24"/>
        <v/>
      </c>
      <c r="F145" s="7" t="s">
        <v>578</v>
      </c>
      <c r="G145" s="7" t="str">
        <f t="shared" si="25"/>
        <v>0517</v>
      </c>
      <c r="H145" s="7" t="str">
        <f t="shared" si="26"/>
        <v/>
      </c>
      <c r="I145" s="7" t="str">
        <f t="shared" si="27"/>
        <v/>
      </c>
      <c r="J145" s="6" t="str">
        <f>IFERROR(_xlfn.CONCAT(_xlfn.TEXTSPLIT(SUBSTITUTE(SUBSTITUTE(LOWER(Q145),"æ","ae"), " de ", " "),{"b. ","ss. ","s. ","ss.mi ","in ",".",","," et","sanctae ","ę","ũ"})), "")</f>
        <v/>
      </c>
      <c r="K145" s="6" t="str">
        <f t="shared" si="28"/>
        <v/>
      </c>
      <c r="L145" s="6" t="str">
        <f t="shared" si="29"/>
        <v/>
      </c>
      <c r="M145" s="6"/>
      <c r="N145" s="1">
        <v>45794</v>
      </c>
    </row>
    <row r="146" spans="1:20" ht="14.4" customHeight="1" x14ac:dyDescent="0.3">
      <c r="A146" s="7" t="str">
        <f t="shared" si="21"/>
        <v>fix.0518.121.ioaip</v>
      </c>
      <c r="B146" s="7" t="str">
        <f t="shared" si="22"/>
        <v>121</v>
      </c>
      <c r="C146" s="8" t="str">
        <f t="shared" si="23"/>
        <v>S. Ioannis I, papæ et martyris</v>
      </c>
      <c r="D146" s="8" t="str">
        <f t="shared" si="23"/>
        <v>St. John I, Pope and Martyr</v>
      </c>
      <c r="E146" s="8" t="str">
        <f t="shared" si="24"/>
        <v>성 요한 1세 교황 순교자</v>
      </c>
      <c r="F146" s="7" t="s">
        <v>578</v>
      </c>
      <c r="G146" s="7" t="str">
        <f t="shared" si="25"/>
        <v>0518</v>
      </c>
      <c r="H146" s="7" t="str">
        <f t="shared" si="26"/>
        <v>121</v>
      </c>
      <c r="I146" s="7" t="str">
        <f t="shared" si="27"/>
        <v>ioaip</v>
      </c>
      <c r="J146" s="6" t="str">
        <f>IFERROR(_xlfn.CONCAT(_xlfn.TEXTSPLIT(SUBSTITUTE(SUBSTITUTE(LOWER(Q146),"æ","ae"), " de ", " "),{"b. ","ss. ","s. ","ss.mi ","in ",".",","," et","sanctae ","ę","ũ"})), "")</f>
        <v>ioannis i papae martyris</v>
      </c>
      <c r="K146" s="6">
        <f t="shared" si="28"/>
        <v>8</v>
      </c>
      <c r="L146" s="6" t="str">
        <f t="shared" si="29"/>
        <v>ipapaemartyris</v>
      </c>
      <c r="M146" s="6"/>
      <c r="N146" s="1">
        <v>45795</v>
      </c>
      <c r="O146" s="3" t="s">
        <v>471</v>
      </c>
      <c r="P146" s="4" t="s">
        <v>9</v>
      </c>
      <c r="Q146" s="2" t="s">
        <v>72</v>
      </c>
      <c r="R146" s="9" t="s">
        <v>652</v>
      </c>
      <c r="S146" s="2" t="s">
        <v>155</v>
      </c>
    </row>
    <row r="147" spans="1:20" ht="14.4" customHeight="1" x14ac:dyDescent="0.3">
      <c r="A147" s="7" t="str">
        <f t="shared" si="21"/>
        <v/>
      </c>
      <c r="B147" s="7" t="str">
        <f t="shared" si="22"/>
        <v/>
      </c>
      <c r="C147" s="8" t="str">
        <f t="shared" si="23"/>
        <v/>
      </c>
      <c r="D147" s="8" t="str">
        <f t="shared" si="23"/>
        <v/>
      </c>
      <c r="E147" s="8" t="str">
        <f t="shared" si="24"/>
        <v/>
      </c>
      <c r="F147" s="7" t="s">
        <v>578</v>
      </c>
      <c r="G147" s="7" t="str">
        <f t="shared" si="25"/>
        <v>0519</v>
      </c>
      <c r="H147" s="7" t="str">
        <f t="shared" si="26"/>
        <v/>
      </c>
      <c r="I147" s="7" t="str">
        <f t="shared" si="27"/>
        <v/>
      </c>
      <c r="J147" s="6" t="str">
        <f>IFERROR(_xlfn.CONCAT(_xlfn.TEXTSPLIT(SUBSTITUTE(SUBSTITUTE(LOWER(Q147),"æ","ae"), " de ", " "),{"b. ","ss. ","s. ","ss.mi ","in ",".",","," et","sanctae ","ę","ũ"})), "")</f>
        <v/>
      </c>
      <c r="K147" s="6" t="str">
        <f t="shared" si="28"/>
        <v/>
      </c>
      <c r="L147" s="6" t="str">
        <f t="shared" si="29"/>
        <v/>
      </c>
      <c r="M147" s="6"/>
      <c r="N147" s="1">
        <v>45796</v>
      </c>
    </row>
    <row r="148" spans="1:20" ht="14.4" customHeight="1" x14ac:dyDescent="0.3">
      <c r="A148" s="7" t="str">
        <f t="shared" si="21"/>
        <v>fix.0520.121.berse</v>
      </c>
      <c r="B148" s="7" t="str">
        <f t="shared" si="22"/>
        <v>121</v>
      </c>
      <c r="C148" s="8" t="str">
        <f t="shared" si="23"/>
        <v>S. Bernardini Senensis, presbyteri</v>
      </c>
      <c r="D148" s="8" t="str">
        <f t="shared" si="23"/>
        <v>St. Bernardine of Siena, Priest</v>
      </c>
      <c r="E148" s="8" t="str">
        <f t="shared" si="24"/>
        <v>시에나의 성 베르나르디노 사제</v>
      </c>
      <c r="F148" s="7" t="s">
        <v>578</v>
      </c>
      <c r="G148" s="7" t="str">
        <f t="shared" si="25"/>
        <v>0520</v>
      </c>
      <c r="H148" s="7" t="str">
        <f t="shared" si="26"/>
        <v>121</v>
      </c>
      <c r="I148" s="7" t="str">
        <f t="shared" si="27"/>
        <v>berse</v>
      </c>
      <c r="J148" s="6" t="str">
        <f>IFERROR(_xlfn.CONCAT(_xlfn.TEXTSPLIT(SUBSTITUTE(SUBSTITUTE(LOWER(Q148),"æ","ae"), " de ", " "),{"b. ","ss. ","s. ","ss.mi ","in ",".",","," et","sanctae ","ę","ũ"})), "")</f>
        <v>bernardini senensis presbyteri</v>
      </c>
      <c r="K148" s="6">
        <f t="shared" si="28"/>
        <v>11</v>
      </c>
      <c r="L148" s="6" t="str">
        <f t="shared" si="29"/>
        <v>senensispresbyteri</v>
      </c>
      <c r="M148" s="6"/>
      <c r="N148" s="1">
        <v>45797</v>
      </c>
      <c r="O148" s="3" t="s">
        <v>471</v>
      </c>
      <c r="P148" s="4" t="s">
        <v>9</v>
      </c>
      <c r="Q148" s="2" t="s">
        <v>73</v>
      </c>
      <c r="R148" s="9" t="s">
        <v>653</v>
      </c>
      <c r="S148" s="2" t="s">
        <v>156</v>
      </c>
    </row>
    <row r="149" spans="1:20" ht="14.4" customHeight="1" x14ac:dyDescent="0.3">
      <c r="A149" s="7" t="str">
        <f t="shared" si="21"/>
        <v>fix.0521.121.chrma</v>
      </c>
      <c r="B149" s="7" t="str">
        <f t="shared" si="22"/>
        <v>121</v>
      </c>
      <c r="C149" s="8" t="str">
        <f t="shared" si="23"/>
        <v>Ss. Christophori Magallanes, presbyteri, et sociorum, martyrum</v>
      </c>
      <c r="D149" s="8" t="str">
        <f t="shared" si="23"/>
        <v>St. Christopher Magallanes, Priest, and Companions, Martyrs</v>
      </c>
      <c r="E149" s="8" t="str">
        <f t="shared" si="24"/>
        <v>성 크리스토포로 마가야네스 사제와 동료 순교자들</v>
      </c>
      <c r="F149" s="7" t="s">
        <v>578</v>
      </c>
      <c r="G149" s="7" t="str">
        <f t="shared" si="25"/>
        <v>0521</v>
      </c>
      <c r="H149" s="7" t="str">
        <f t="shared" si="26"/>
        <v>121</v>
      </c>
      <c r="I149" s="7" t="str">
        <f t="shared" si="27"/>
        <v>chrma</v>
      </c>
      <c r="J149" s="6" t="str">
        <f>IFERROR(_xlfn.CONCAT(_xlfn.TEXTSPLIT(SUBSTITUTE(SUBSTITUTE(LOWER(Q149),"æ","ae"), " de ", " "),{"b. ","ss. ","s. ","ss.mi ","in ",".",","," et","sanctae ","ę","ũ"})), "")</f>
        <v>christophori magallanes presbyteri sociorum martyrum</v>
      </c>
      <c r="K149" s="6">
        <f t="shared" si="28"/>
        <v>13</v>
      </c>
      <c r="L149" s="6" t="str">
        <f t="shared" si="29"/>
        <v>magallanespresbyterisociorummartyrum</v>
      </c>
      <c r="M149" s="6"/>
      <c r="N149" s="1">
        <v>45798</v>
      </c>
      <c r="O149" s="3" t="s">
        <v>471</v>
      </c>
      <c r="P149" s="4" t="s">
        <v>9</v>
      </c>
      <c r="Q149" s="2" t="s">
        <v>74</v>
      </c>
      <c r="R149" s="9" t="s">
        <v>654</v>
      </c>
      <c r="S149" s="2" t="s">
        <v>157</v>
      </c>
    </row>
    <row r="150" spans="1:20" ht="14.4" customHeight="1" x14ac:dyDescent="0.3">
      <c r="A150" s="7" t="str">
        <f t="shared" si="21"/>
        <v>fix.0522.121.ritca</v>
      </c>
      <c r="B150" s="7" t="str">
        <f t="shared" si="22"/>
        <v>121</v>
      </c>
      <c r="C150" s="8" t="str">
        <f t="shared" si="23"/>
        <v>S. Ritæ, de Cascia religiosæ</v>
      </c>
      <c r="D150" s="8" t="str">
        <f t="shared" si="23"/>
        <v>St. Rita of Cascia, Religious</v>
      </c>
      <c r="E150" s="8" t="str">
        <f t="shared" si="24"/>
        <v>카시아의 성녀 리타 수도자</v>
      </c>
      <c r="F150" s="7" t="s">
        <v>578</v>
      </c>
      <c r="G150" s="7" t="str">
        <f t="shared" si="25"/>
        <v>0522</v>
      </c>
      <c r="H150" s="7" t="str">
        <f t="shared" si="26"/>
        <v>121</v>
      </c>
      <c r="I150" s="7" t="str">
        <f t="shared" si="27"/>
        <v>ritca</v>
      </c>
      <c r="J150" s="6" t="str">
        <f>IFERROR(_xlfn.CONCAT(_xlfn.TEXTSPLIT(SUBSTITUTE(SUBSTITUTE(LOWER(Q150),"æ","ae"), " de ", " "),{"b. ","ss. ","s. ","ss.mi ","in ",".",","," et","sanctae ","ę","ũ"})), "")</f>
        <v>ritae cascia religiosae</v>
      </c>
      <c r="K150" s="6">
        <f t="shared" si="28"/>
        <v>6</v>
      </c>
      <c r="L150" s="6" t="str">
        <f t="shared" si="29"/>
        <v>casciareligiosae</v>
      </c>
      <c r="M150" s="6"/>
      <c r="N150" s="1">
        <v>45799</v>
      </c>
      <c r="O150" s="3" t="s">
        <v>471</v>
      </c>
      <c r="P150" s="4" t="s">
        <v>9</v>
      </c>
      <c r="Q150" s="2" t="s">
        <v>75</v>
      </c>
      <c r="R150" s="9" t="s">
        <v>655</v>
      </c>
      <c r="S150" s="2" t="s">
        <v>158</v>
      </c>
    </row>
    <row r="151" spans="1:20" ht="14.4" customHeight="1" x14ac:dyDescent="0.3">
      <c r="A151" s="7" t="str">
        <f t="shared" si="21"/>
        <v/>
      </c>
      <c r="B151" s="7" t="str">
        <f t="shared" si="22"/>
        <v/>
      </c>
      <c r="C151" s="8" t="str">
        <f t="shared" si="23"/>
        <v/>
      </c>
      <c r="D151" s="8" t="str">
        <f t="shared" si="23"/>
        <v/>
      </c>
      <c r="E151" s="8" t="str">
        <f t="shared" si="24"/>
        <v/>
      </c>
      <c r="F151" s="7" t="s">
        <v>578</v>
      </c>
      <c r="G151" s="7" t="str">
        <f t="shared" si="25"/>
        <v>0523</v>
      </c>
      <c r="H151" s="7" t="str">
        <f t="shared" si="26"/>
        <v/>
      </c>
      <c r="I151" s="7" t="str">
        <f t="shared" si="27"/>
        <v/>
      </c>
      <c r="J151" s="6" t="str">
        <f>IFERROR(_xlfn.CONCAT(_xlfn.TEXTSPLIT(SUBSTITUTE(SUBSTITUTE(LOWER(Q151),"æ","ae"), " de ", " "),{"b. ","ss. ","s. ","ss.mi ","in ",".",","," et","sanctae ","ę","ũ"})), "")</f>
        <v/>
      </c>
      <c r="K151" s="6" t="str">
        <f t="shared" si="28"/>
        <v/>
      </c>
      <c r="L151" s="6" t="str">
        <f t="shared" si="29"/>
        <v/>
      </c>
      <c r="M151" s="6"/>
      <c r="N151" s="1">
        <v>45800</v>
      </c>
    </row>
    <row r="152" spans="1:20" ht="14.4" customHeight="1" x14ac:dyDescent="0.3">
      <c r="A152" s="7" t="str">
        <f t="shared" si="21"/>
        <v/>
      </c>
      <c r="B152" s="7" t="str">
        <f t="shared" si="22"/>
        <v/>
      </c>
      <c r="C152" s="8" t="str">
        <f t="shared" si="23"/>
        <v/>
      </c>
      <c r="D152" s="8" t="str">
        <f t="shared" si="23"/>
        <v/>
      </c>
      <c r="E152" s="8" t="str">
        <f t="shared" si="24"/>
        <v/>
      </c>
      <c r="F152" s="7" t="s">
        <v>578</v>
      </c>
      <c r="G152" s="7" t="str">
        <f t="shared" si="25"/>
        <v>0524</v>
      </c>
      <c r="H152" s="7" t="str">
        <f t="shared" si="26"/>
        <v/>
      </c>
      <c r="I152" s="7" t="str">
        <f t="shared" si="27"/>
        <v/>
      </c>
      <c r="J152" s="6" t="str">
        <f>IFERROR(_xlfn.CONCAT(_xlfn.TEXTSPLIT(SUBSTITUTE(SUBSTITUTE(LOWER(Q152),"æ","ae"), " de ", " "),{"b. ","ss. ","s. ","ss.mi ","in ",".",","," et","sanctae ","ę","ũ"})), "")</f>
        <v/>
      </c>
      <c r="K152" s="6" t="str">
        <f t="shared" si="28"/>
        <v/>
      </c>
      <c r="L152" s="6" t="str">
        <f t="shared" si="29"/>
        <v/>
      </c>
      <c r="M152" s="6"/>
      <c r="N152" s="1">
        <v>45801</v>
      </c>
    </row>
    <row r="153" spans="1:20" ht="14.4" customHeight="1" x14ac:dyDescent="0.3">
      <c r="A153" s="7" t="str">
        <f t="shared" si="21"/>
        <v>fix.0525.121.bedve</v>
      </c>
      <c r="B153" s="7" t="str">
        <f t="shared" si="22"/>
        <v>121</v>
      </c>
      <c r="C153" s="8" t="str">
        <f t="shared" si="23"/>
        <v>S. Bedæ Venerabilis, presbyteri et Ecclesiæ doctoris</v>
      </c>
      <c r="D153" s="8" t="str">
        <f t="shared" si="23"/>
        <v>St. Bede the Venerable, Priest and Doctor of the Church</v>
      </c>
      <c r="E153" s="8" t="str">
        <f t="shared" si="24"/>
        <v>성 베다 사제 학자</v>
      </c>
      <c r="F153" s="7" t="s">
        <v>578</v>
      </c>
      <c r="G153" s="7" t="str">
        <f t="shared" si="25"/>
        <v>0525</v>
      </c>
      <c r="H153" s="7" t="str">
        <f t="shared" si="26"/>
        <v>121</v>
      </c>
      <c r="I153" s="7" t="str">
        <f t="shared" si="27"/>
        <v>bedve</v>
      </c>
      <c r="J153" s="6" t="str">
        <f>IFERROR(_xlfn.CONCAT(_xlfn.TEXTSPLIT(SUBSTITUTE(SUBSTITUTE(LOWER(Q153),"æ","ae"), " de ", " "),{"b. ","ss. ","s. ","ss.mi ","in ",".",","," et","sanctae ","ę","ũ"})), "")</f>
        <v>bedae venerabilis presbyteri ecclesiae doctoris</v>
      </c>
      <c r="K153" s="6">
        <f t="shared" si="28"/>
        <v>6</v>
      </c>
      <c r="L153" s="6" t="str">
        <f t="shared" si="29"/>
        <v>venerabilispresbyteriecclesiaedoctoris</v>
      </c>
      <c r="M153" s="6"/>
      <c r="N153" s="1">
        <v>45802</v>
      </c>
      <c r="O153" s="3" t="s">
        <v>471</v>
      </c>
      <c r="P153" s="4" t="s">
        <v>9</v>
      </c>
      <c r="Q153" s="2" t="s">
        <v>76</v>
      </c>
      <c r="R153" s="9" t="s">
        <v>656</v>
      </c>
      <c r="S153" s="2" t="s">
        <v>159</v>
      </c>
    </row>
    <row r="154" spans="1:20" ht="14.4" customHeight="1" x14ac:dyDescent="0.3">
      <c r="A154" s="7" t="str">
        <f t="shared" si="21"/>
        <v>fix.0525.121.grevi</v>
      </c>
      <c r="B154" s="7" t="str">
        <f t="shared" si="22"/>
        <v>121</v>
      </c>
      <c r="C154" s="8" t="str">
        <f t="shared" si="23"/>
        <v>S. Gregorii VII, papæ</v>
      </c>
      <c r="D154" s="8" t="str">
        <f t="shared" si="23"/>
        <v>St. Gregory VII, Pope</v>
      </c>
      <c r="E154" s="8" t="str">
        <f t="shared" si="24"/>
        <v>성 그레고리오 7세 교황</v>
      </c>
      <c r="F154" s="7" t="s">
        <v>578</v>
      </c>
      <c r="G154" s="7" t="str">
        <f t="shared" si="25"/>
        <v>0525</v>
      </c>
      <c r="H154" s="7" t="str">
        <f t="shared" si="26"/>
        <v>121</v>
      </c>
      <c r="I154" s="7" t="str">
        <f t="shared" si="27"/>
        <v>grevi</v>
      </c>
      <c r="J154" s="6" t="str">
        <f>IFERROR(_xlfn.CONCAT(_xlfn.TEXTSPLIT(SUBSTITUTE(SUBSTITUTE(LOWER(Q154),"æ","ae"), " de ", " "),{"b. ","ss. ","s. ","ss.mi ","in ",".",","," et","sanctae ","ę","ũ"})), "")</f>
        <v>gregorii vii papae</v>
      </c>
      <c r="K154" s="6">
        <f t="shared" si="28"/>
        <v>9</v>
      </c>
      <c r="L154" s="6" t="str">
        <f t="shared" si="29"/>
        <v>viipapae</v>
      </c>
      <c r="M154" s="6"/>
      <c r="N154" s="1">
        <v>45802</v>
      </c>
      <c r="O154" s="3" t="s">
        <v>471</v>
      </c>
      <c r="P154" s="4" t="s">
        <v>9</v>
      </c>
      <c r="Q154" s="2" t="s">
        <v>77</v>
      </c>
      <c r="R154" s="9" t="s">
        <v>657</v>
      </c>
      <c r="S154" s="2" t="s">
        <v>160</v>
      </c>
    </row>
    <row r="155" spans="1:20" ht="14.4" customHeight="1" x14ac:dyDescent="0.3">
      <c r="A155" s="7" t="str">
        <f t="shared" si="21"/>
        <v>fix.0525.121.marma</v>
      </c>
      <c r="B155" s="7" t="str">
        <f t="shared" si="22"/>
        <v>121</v>
      </c>
      <c r="C155" s="8" t="str">
        <f t="shared" si="23"/>
        <v>S. Mariæ Magdalenæ de’ Pazzi, virginis</v>
      </c>
      <c r="D155" s="8" t="str">
        <f t="shared" si="23"/>
        <v>St. Mary Magdalene de’ Pazzi, Virgin</v>
      </c>
      <c r="E155" s="8" t="str">
        <f t="shared" si="24"/>
        <v>성녀 마리아 막달레나 데 파치 동정</v>
      </c>
      <c r="F155" s="7" t="s">
        <v>578</v>
      </c>
      <c r="G155" s="7" t="str">
        <f t="shared" si="25"/>
        <v>0525</v>
      </c>
      <c r="H155" s="7" t="str">
        <f t="shared" si="26"/>
        <v>121</v>
      </c>
      <c r="I155" s="7" t="str">
        <f t="shared" si="27"/>
        <v>marma</v>
      </c>
      <c r="J155" s="6" t="str">
        <f>IFERROR(_xlfn.CONCAT(_xlfn.TEXTSPLIT(SUBSTITUTE(SUBSTITUTE(LOWER(Q155),"æ","ae"), " de ", " "),{"b. ","ss. ","s. ","ss.mi ","in ",".",","," et","sanctae ","ę","ũ"})), "")</f>
        <v>mariae magdalenae de’ pazzi virginis</v>
      </c>
      <c r="K155" s="6">
        <f t="shared" si="28"/>
        <v>7</v>
      </c>
      <c r="L155" s="6" t="str">
        <f t="shared" si="29"/>
        <v>magdalenaede’pazzivirginis</v>
      </c>
      <c r="M155" s="6"/>
      <c r="N155" s="1">
        <v>45802</v>
      </c>
      <c r="O155" s="3" t="s">
        <v>471</v>
      </c>
      <c r="P155" s="4" t="s">
        <v>9</v>
      </c>
      <c r="Q155" s="2" t="s">
        <v>78</v>
      </c>
      <c r="R155" s="9" t="s">
        <v>658</v>
      </c>
      <c r="S155" s="2" t="s">
        <v>161</v>
      </c>
    </row>
    <row r="156" spans="1:20" ht="14.4" customHeight="1" x14ac:dyDescent="0.3">
      <c r="A156" s="7" t="str">
        <f t="shared" si="21"/>
        <v>fix.0526.101.phine</v>
      </c>
      <c r="B156" s="7" t="str">
        <f t="shared" si="22"/>
        <v>101</v>
      </c>
      <c r="C156" s="8" t="str">
        <f t="shared" si="23"/>
        <v>S. Philippi Neri, presbyteri</v>
      </c>
      <c r="D156" s="8" t="str">
        <f t="shared" si="23"/>
        <v xml:space="preserve">St. Philip Neri, Priest </v>
      </c>
      <c r="E156" s="8" t="str">
        <f t="shared" si="24"/>
        <v>성 필립보 네리 사제 기념일</v>
      </c>
      <c r="F156" s="7" t="s">
        <v>578</v>
      </c>
      <c r="G156" s="7" t="str">
        <f t="shared" si="25"/>
        <v>0526</v>
      </c>
      <c r="H156" s="7" t="str">
        <f t="shared" si="26"/>
        <v>101</v>
      </c>
      <c r="I156" s="7" t="str">
        <f t="shared" si="27"/>
        <v>phine</v>
      </c>
      <c r="J156" s="6" t="str">
        <f>IFERROR(_xlfn.CONCAT(_xlfn.TEXTSPLIT(SUBSTITUTE(SUBSTITUTE(LOWER(Q156),"æ","ae"), " de ", " "),{"b. ","ss. ","s. ","ss.mi ","in ",".",","," et","sanctae ","ę","ũ"})), "")</f>
        <v>philippi neri presbyteri</v>
      </c>
      <c r="K156" s="6">
        <f t="shared" si="28"/>
        <v>9</v>
      </c>
      <c r="L156" s="6" t="str">
        <f t="shared" si="29"/>
        <v>neripresbyteri</v>
      </c>
      <c r="M156" s="6"/>
      <c r="N156" s="1">
        <v>45803</v>
      </c>
      <c r="O156" s="3">
        <v>101</v>
      </c>
      <c r="P156" s="4" t="s">
        <v>8</v>
      </c>
      <c r="Q156" s="2" t="s">
        <v>79</v>
      </c>
      <c r="R156" s="9" t="s">
        <v>659</v>
      </c>
      <c r="S156" s="2" t="s">
        <v>162</v>
      </c>
    </row>
    <row r="157" spans="1:20" ht="14.4" customHeight="1" x14ac:dyDescent="0.3">
      <c r="A157" s="7" t="str">
        <f t="shared" si="21"/>
        <v>fix.0527.121.augca</v>
      </c>
      <c r="B157" s="7" t="str">
        <f t="shared" si="22"/>
        <v>121</v>
      </c>
      <c r="C157" s="8" t="str">
        <f t="shared" si="23"/>
        <v>S. Augustini Cantuariensis, episcopi</v>
      </c>
      <c r="D157" s="8" t="str">
        <f t="shared" si="23"/>
        <v>St. Augustine of Canterbury, Bishop</v>
      </c>
      <c r="E157" s="8" t="str">
        <f t="shared" si="24"/>
        <v>캔터베리의 성 아우구스티노 주교</v>
      </c>
      <c r="F157" s="7" t="s">
        <v>578</v>
      </c>
      <c r="G157" s="7" t="str">
        <f t="shared" si="25"/>
        <v>0527</v>
      </c>
      <c r="H157" s="7" t="str">
        <f t="shared" si="26"/>
        <v>121</v>
      </c>
      <c r="I157" s="7" t="str">
        <f t="shared" si="27"/>
        <v>augca</v>
      </c>
      <c r="J157" s="6" t="str">
        <f>IFERROR(_xlfn.CONCAT(_xlfn.TEXTSPLIT(SUBSTITUTE(SUBSTITUTE(LOWER(Q157),"æ","ae"), " de ", " "),{"b. ","ss. ","s. ","ss.mi ","in ",".",","," et","sanctae ","ę","ũ"})), "")</f>
        <v>augustini cantuariensis episcopi</v>
      </c>
      <c r="K157" s="6">
        <f t="shared" si="28"/>
        <v>10</v>
      </c>
      <c r="L157" s="6" t="str">
        <f t="shared" si="29"/>
        <v>cantuariensisepiscopi</v>
      </c>
      <c r="M157" s="6"/>
      <c r="N157" s="1">
        <v>45804</v>
      </c>
      <c r="O157" s="3" t="s">
        <v>471</v>
      </c>
      <c r="P157" s="4" t="s">
        <v>9</v>
      </c>
      <c r="Q157" s="2" t="s">
        <v>80</v>
      </c>
      <c r="R157" s="9" t="s">
        <v>660</v>
      </c>
      <c r="S157" s="2" t="s">
        <v>163</v>
      </c>
    </row>
    <row r="158" spans="1:20" ht="14.4" customHeight="1" x14ac:dyDescent="0.3">
      <c r="A158" s="7" t="str">
        <f t="shared" si="21"/>
        <v/>
      </c>
      <c r="B158" s="7" t="str">
        <f t="shared" si="22"/>
        <v/>
      </c>
      <c r="C158" s="8" t="str">
        <f t="shared" si="23"/>
        <v/>
      </c>
      <c r="D158" s="8" t="str">
        <f t="shared" si="23"/>
        <v/>
      </c>
      <c r="E158" s="8" t="str">
        <f t="shared" si="24"/>
        <v/>
      </c>
      <c r="F158" s="7" t="s">
        <v>578</v>
      </c>
      <c r="G158" s="7" t="str">
        <f t="shared" si="25"/>
        <v>0528</v>
      </c>
      <c r="H158" s="7" t="str">
        <f t="shared" si="26"/>
        <v/>
      </c>
      <c r="I158" s="7" t="str">
        <f t="shared" si="27"/>
        <v/>
      </c>
      <c r="J158" s="6" t="str">
        <f>IFERROR(_xlfn.CONCAT(_xlfn.TEXTSPLIT(SUBSTITUTE(SUBSTITUTE(LOWER(Q158),"æ","ae"), " de ", " "),{"b. ","ss. ","s. ","ss.mi ","in ",".",","," et","sanctae ","ę","ũ"})), "")</f>
        <v/>
      </c>
      <c r="K158" s="6" t="str">
        <f t="shared" si="28"/>
        <v/>
      </c>
      <c r="L158" s="6" t="str">
        <f t="shared" si="29"/>
        <v/>
      </c>
      <c r="M158" s="6"/>
      <c r="N158" s="1">
        <v>45805</v>
      </c>
    </row>
    <row r="159" spans="1:20" ht="14.4" customHeight="1" x14ac:dyDescent="0.3">
      <c r="A159" s="7" t="str">
        <f t="shared" si="21"/>
        <v>fix.0529.121.pauvi</v>
      </c>
      <c r="B159" s="7" t="str">
        <f t="shared" si="22"/>
        <v>121</v>
      </c>
      <c r="C159" s="8" t="str">
        <f t="shared" si="23"/>
        <v>S. Pauli VI, papæ</v>
      </c>
      <c r="D159" s="8" t="str">
        <f t="shared" si="23"/>
        <v/>
      </c>
      <c r="E159" s="8" t="str">
        <f t="shared" si="24"/>
        <v>성 바오로 6세 교황</v>
      </c>
      <c r="F159" s="7" t="s">
        <v>578</v>
      </c>
      <c r="G159" s="7" t="str">
        <f t="shared" si="25"/>
        <v>0529</v>
      </c>
      <c r="H159" s="7" t="str">
        <f t="shared" si="26"/>
        <v>121</v>
      </c>
      <c r="I159" s="7" t="str">
        <f t="shared" si="27"/>
        <v>pauvi</v>
      </c>
      <c r="J159" s="6" t="str">
        <f>IFERROR(_xlfn.CONCAT(_xlfn.TEXTSPLIT(SUBSTITUTE(SUBSTITUTE(LOWER(Q159),"æ","ae"), " de ", " "),{"b. ","ss. ","s. ","ss.mi ","in ",".",","," et","sanctae ","ę","ũ"})), "")</f>
        <v>pauli vi papae</v>
      </c>
      <c r="K159" s="6">
        <f t="shared" si="28"/>
        <v>6</v>
      </c>
      <c r="L159" s="6" t="str">
        <f t="shared" si="29"/>
        <v>vipapae</v>
      </c>
      <c r="M159" s="6"/>
      <c r="N159" s="1">
        <v>45806</v>
      </c>
      <c r="O159" s="3" t="s">
        <v>471</v>
      </c>
      <c r="P159" s="4" t="s">
        <v>9</v>
      </c>
      <c r="Q159" s="2" t="s">
        <v>436</v>
      </c>
      <c r="S159" s="2" t="s">
        <v>454</v>
      </c>
      <c r="T159" t="s">
        <v>437</v>
      </c>
    </row>
    <row r="160" spans="1:20" ht="14.4" customHeight="1" x14ac:dyDescent="0.3">
      <c r="A160" s="7" t="str">
        <f t="shared" si="21"/>
        <v/>
      </c>
      <c r="B160" s="7" t="str">
        <f t="shared" si="22"/>
        <v/>
      </c>
      <c r="C160" s="8" t="str">
        <f t="shared" si="23"/>
        <v/>
      </c>
      <c r="D160" s="8" t="str">
        <f t="shared" si="23"/>
        <v/>
      </c>
      <c r="E160" s="8" t="str">
        <f t="shared" si="24"/>
        <v/>
      </c>
      <c r="F160" s="7" t="s">
        <v>578</v>
      </c>
      <c r="G160" s="7" t="str">
        <f t="shared" si="25"/>
        <v>0530</v>
      </c>
      <c r="H160" s="7" t="str">
        <f t="shared" si="26"/>
        <v/>
      </c>
      <c r="I160" s="7" t="str">
        <f t="shared" si="27"/>
        <v/>
      </c>
      <c r="J160" s="6" t="str">
        <f>IFERROR(_xlfn.CONCAT(_xlfn.TEXTSPLIT(SUBSTITUTE(SUBSTITUTE(LOWER(Q160),"æ","ae"), " de ", " "),{"b. ","ss. ","s. ","ss.mi ","in ",".",","," et","sanctae ","ę","ũ"})), "")</f>
        <v/>
      </c>
      <c r="K160" s="6" t="str">
        <f t="shared" si="28"/>
        <v/>
      </c>
      <c r="L160" s="6" t="str">
        <f t="shared" si="29"/>
        <v/>
      </c>
      <c r="M160" s="6"/>
      <c r="N160" s="1">
        <v>45807</v>
      </c>
    </row>
    <row r="161" spans="1:19" ht="14.4" customHeight="1" x14ac:dyDescent="0.3">
      <c r="A161" s="7" t="str">
        <f t="shared" si="21"/>
        <v>fix.0531.071.visma</v>
      </c>
      <c r="B161" s="7" t="str">
        <f t="shared" si="22"/>
        <v>071</v>
      </c>
      <c r="C161" s="8" t="str">
        <f t="shared" si="23"/>
        <v>In Visitatione B. Mariæ Virginis</v>
      </c>
      <c r="D161" s="8" t="str">
        <f t="shared" si="23"/>
        <v>The Visitation of the Blessed Virgin Mary</v>
      </c>
      <c r="E161" s="8" t="str">
        <f t="shared" si="24"/>
        <v>복되신 동정 마리아의 방문 축일</v>
      </c>
      <c r="F161" s="7" t="s">
        <v>578</v>
      </c>
      <c r="G161" s="7" t="str">
        <f t="shared" si="25"/>
        <v>0531</v>
      </c>
      <c r="H161" s="7" t="str">
        <f t="shared" si="26"/>
        <v>071</v>
      </c>
      <c r="I161" s="7" t="str">
        <f t="shared" si="27"/>
        <v>visma</v>
      </c>
      <c r="J161" s="6" t="str">
        <f>IFERROR(_xlfn.CONCAT(_xlfn.TEXTSPLIT(SUBSTITUTE(SUBSTITUTE(LOWER(Q161),"æ","ae"), " de ", " "),{"b. ","ss. ","s. ","ss.mi ","in ",".",","," et","sanctae ","ę","ũ"})), "")</f>
        <v>visitatione mariae virginis</v>
      </c>
      <c r="K161" s="6">
        <f t="shared" si="28"/>
        <v>12</v>
      </c>
      <c r="L161" s="6" t="str">
        <f t="shared" si="29"/>
        <v>mariaevirginis</v>
      </c>
      <c r="M161" s="6"/>
      <c r="N161" s="1">
        <v>45808</v>
      </c>
      <c r="O161" s="3" t="s">
        <v>463</v>
      </c>
      <c r="P161" s="4" t="s">
        <v>20</v>
      </c>
      <c r="Q161" s="2" t="s">
        <v>81</v>
      </c>
      <c r="R161" s="9" t="s">
        <v>661</v>
      </c>
      <c r="S161" s="2" t="s">
        <v>165</v>
      </c>
    </row>
    <row r="162" spans="1:19" ht="14.4" customHeight="1" x14ac:dyDescent="0.3">
      <c r="A162" s="7" t="str">
        <f t="shared" si="21"/>
        <v>fix.0601.101.iusma</v>
      </c>
      <c r="B162" s="7" t="str">
        <f t="shared" si="22"/>
        <v>101</v>
      </c>
      <c r="C162" s="8" t="str">
        <f t="shared" si="23"/>
        <v>S. Iustini, martyris</v>
      </c>
      <c r="D162" s="8" t="str">
        <f t="shared" si="23"/>
        <v>St. Justin, Martyr</v>
      </c>
      <c r="E162" s="8" t="str">
        <f t="shared" si="24"/>
        <v>성 유스티노 순교자 기념일</v>
      </c>
      <c r="F162" s="7" t="s">
        <v>578</v>
      </c>
      <c r="G162" s="7" t="str">
        <f t="shared" si="25"/>
        <v>0601</v>
      </c>
      <c r="H162" s="7" t="str">
        <f t="shared" si="26"/>
        <v>101</v>
      </c>
      <c r="I162" s="7" t="str">
        <f t="shared" si="27"/>
        <v>iusma</v>
      </c>
      <c r="J162" s="6" t="str">
        <f>IFERROR(_xlfn.CONCAT(_xlfn.TEXTSPLIT(SUBSTITUTE(SUBSTITUTE(LOWER(Q162),"æ","ae"), " de ", " "),{"b. ","ss. ","s. ","ss.mi ","in ",".",","," et","sanctae ","ę","ũ"})), "")</f>
        <v>iustini martyris</v>
      </c>
      <c r="K162" s="6">
        <f t="shared" si="28"/>
        <v>8</v>
      </c>
      <c r="L162" s="6" t="str">
        <f t="shared" si="29"/>
        <v>martyris</v>
      </c>
      <c r="M162" s="6"/>
      <c r="N162" s="1">
        <v>45809</v>
      </c>
      <c r="O162" s="3">
        <v>101</v>
      </c>
      <c r="P162" s="4" t="s">
        <v>8</v>
      </c>
      <c r="Q162" s="2" t="s">
        <v>82</v>
      </c>
      <c r="R162" s="9" t="s">
        <v>663</v>
      </c>
      <c r="S162" s="2" t="s">
        <v>166</v>
      </c>
    </row>
    <row r="163" spans="1:19" ht="14.4" customHeight="1" x14ac:dyDescent="0.3">
      <c r="A163" s="7" t="str">
        <f t="shared" si="21"/>
        <v>fix.0602.121.marpe</v>
      </c>
      <c r="B163" s="7" t="str">
        <f t="shared" si="22"/>
        <v>121</v>
      </c>
      <c r="C163" s="8" t="str">
        <f t="shared" si="23"/>
        <v>Ss. Marcellini et Petri, martyrum</v>
      </c>
      <c r="D163" s="8" t="str">
        <f t="shared" si="23"/>
        <v>Sts. Marcellinus and Peter, Martyrs</v>
      </c>
      <c r="E163" s="8" t="str">
        <f t="shared" si="24"/>
        <v>성 마르첼리노와 성 베드로 순교자</v>
      </c>
      <c r="F163" s="7" t="s">
        <v>578</v>
      </c>
      <c r="G163" s="7" t="str">
        <f t="shared" si="25"/>
        <v>0602</v>
      </c>
      <c r="H163" s="7" t="str">
        <f t="shared" si="26"/>
        <v>121</v>
      </c>
      <c r="I163" s="7" t="str">
        <f t="shared" si="27"/>
        <v>marpe</v>
      </c>
      <c r="J163" s="6" t="str">
        <f>IFERROR(_xlfn.CONCAT(_xlfn.TEXTSPLIT(SUBSTITUTE(SUBSTITUTE(LOWER(Q163),"æ","ae"), " de ", " "),{"b. ","ss. ","s. ","ss.mi ","in ",".",","," et","sanctae ","ę","ũ"})), "")</f>
        <v>marcellini petri martyrum</v>
      </c>
      <c r="K163" s="6">
        <f t="shared" si="28"/>
        <v>11</v>
      </c>
      <c r="L163" s="6" t="str">
        <f t="shared" si="29"/>
        <v>petrimartyrum</v>
      </c>
      <c r="M163" s="6"/>
      <c r="N163" s="1">
        <v>45810</v>
      </c>
      <c r="O163" s="3" t="s">
        <v>471</v>
      </c>
      <c r="P163" s="4" t="s">
        <v>9</v>
      </c>
      <c r="Q163" s="2" t="s">
        <v>83</v>
      </c>
      <c r="R163" s="9" t="s">
        <v>664</v>
      </c>
      <c r="S163" s="2" t="s">
        <v>167</v>
      </c>
    </row>
    <row r="164" spans="1:19" ht="14.4" customHeight="1" x14ac:dyDescent="0.3">
      <c r="A164" s="7" t="str">
        <f t="shared" si="21"/>
        <v>fix.0603.101.carlw</v>
      </c>
      <c r="B164" s="7" t="str">
        <f t="shared" si="22"/>
        <v>101</v>
      </c>
      <c r="C164" s="8" t="str">
        <f t="shared" si="23"/>
        <v>Ss. Caroli Lwanga et sociorum, martyrum</v>
      </c>
      <c r="D164" s="8" t="str">
        <f t="shared" si="23"/>
        <v>St. Charles Lwanga and Companions, Martyrs</v>
      </c>
      <c r="E164" s="8" t="str">
        <f t="shared" si="24"/>
        <v>성 가롤로 르왕가와 동료 순교자들 기념일</v>
      </c>
      <c r="F164" s="7" t="s">
        <v>578</v>
      </c>
      <c r="G164" s="7" t="str">
        <f t="shared" si="25"/>
        <v>0603</v>
      </c>
      <c r="H164" s="7" t="str">
        <f t="shared" si="26"/>
        <v>101</v>
      </c>
      <c r="I164" s="7" t="str">
        <f t="shared" si="27"/>
        <v>carlw</v>
      </c>
      <c r="J164" s="6" t="str">
        <f>IFERROR(_xlfn.CONCAT(_xlfn.TEXTSPLIT(SUBSTITUTE(SUBSTITUTE(LOWER(Q164),"æ","ae"), " de ", " "),{"b. ","ss. ","s. ","ss.mi ","in ",".",","," et","sanctae ","ę","ũ"})), "")</f>
        <v>caroli lwanga sociorum martyrum</v>
      </c>
      <c r="K164" s="6">
        <f t="shared" si="28"/>
        <v>7</v>
      </c>
      <c r="L164" s="6" t="str">
        <f t="shared" si="29"/>
        <v>lwangasociorummartyrum</v>
      </c>
      <c r="M164" s="6"/>
      <c r="N164" s="1">
        <v>45811</v>
      </c>
      <c r="O164" s="3">
        <v>101</v>
      </c>
      <c r="P164" s="4" t="s">
        <v>8</v>
      </c>
      <c r="Q164" s="2" t="s">
        <v>84</v>
      </c>
      <c r="R164" s="9" t="s">
        <v>665</v>
      </c>
      <c r="S164" s="2" t="s">
        <v>168</v>
      </c>
    </row>
    <row r="165" spans="1:19" ht="14.4" customHeight="1" x14ac:dyDescent="0.3">
      <c r="A165" s="7" t="str">
        <f t="shared" si="21"/>
        <v/>
      </c>
      <c r="B165" s="7" t="str">
        <f t="shared" si="22"/>
        <v/>
      </c>
      <c r="C165" s="8" t="str">
        <f t="shared" si="23"/>
        <v/>
      </c>
      <c r="D165" s="8" t="str">
        <f t="shared" si="23"/>
        <v/>
      </c>
      <c r="E165" s="8" t="str">
        <f t="shared" si="24"/>
        <v/>
      </c>
      <c r="F165" s="7" t="s">
        <v>578</v>
      </c>
      <c r="G165" s="7" t="str">
        <f t="shared" si="25"/>
        <v>0604</v>
      </c>
      <c r="H165" s="7" t="str">
        <f t="shared" si="26"/>
        <v/>
      </c>
      <c r="I165" s="7" t="str">
        <f t="shared" si="27"/>
        <v/>
      </c>
      <c r="J165" s="6" t="str">
        <f>IFERROR(_xlfn.CONCAT(_xlfn.TEXTSPLIT(SUBSTITUTE(SUBSTITUTE(LOWER(Q165),"æ","ae"), " de ", " "),{"b. ","ss. ","s. ","ss.mi ","in ",".",","," et","sanctae ","ę","ũ"})), "")</f>
        <v/>
      </c>
      <c r="K165" s="6" t="str">
        <f t="shared" si="28"/>
        <v/>
      </c>
      <c r="L165" s="6" t="str">
        <f t="shared" si="29"/>
        <v/>
      </c>
      <c r="M165" s="6"/>
      <c r="N165" s="1">
        <v>45812</v>
      </c>
    </row>
    <row r="166" spans="1:19" ht="14.4" customHeight="1" x14ac:dyDescent="0.3">
      <c r="A166" s="7" t="str">
        <f t="shared" si="21"/>
        <v>fix.0605.101.bonep</v>
      </c>
      <c r="B166" s="7" t="str">
        <f t="shared" si="22"/>
        <v>101</v>
      </c>
      <c r="C166" s="8" t="str">
        <f t="shared" si="23"/>
        <v>S. Bonifatii, episcopi et martyris</v>
      </c>
      <c r="D166" s="8" t="str">
        <f t="shared" si="23"/>
        <v>St. Boniface, Bishop and Martyr</v>
      </c>
      <c r="E166" s="8" t="str">
        <f t="shared" si="24"/>
        <v>성 보니파시오 주교 순교자 기념일</v>
      </c>
      <c r="F166" s="7" t="s">
        <v>578</v>
      </c>
      <c r="G166" s="7" t="str">
        <f t="shared" si="25"/>
        <v>0605</v>
      </c>
      <c r="H166" s="7" t="str">
        <f t="shared" si="26"/>
        <v>101</v>
      </c>
      <c r="I166" s="7" t="str">
        <f t="shared" si="27"/>
        <v>bonep</v>
      </c>
      <c r="J166" s="6" t="str">
        <f>IFERROR(_xlfn.CONCAT(_xlfn.TEXTSPLIT(SUBSTITUTE(SUBSTITUTE(LOWER(Q166),"æ","ae"), " de ", " "),{"b. ","ss. ","s. ","ss.mi ","in ",".",","," et","sanctae ","ę","ũ"})), "")</f>
        <v>bonifatii episcopi martyris</v>
      </c>
      <c r="K166" s="6">
        <f t="shared" si="28"/>
        <v>10</v>
      </c>
      <c r="L166" s="6" t="str">
        <f t="shared" si="29"/>
        <v>episcopimartyris</v>
      </c>
      <c r="M166" s="6"/>
      <c r="N166" s="1">
        <v>45813</v>
      </c>
      <c r="O166" s="3">
        <v>101</v>
      </c>
      <c r="P166" s="4" t="s">
        <v>8</v>
      </c>
      <c r="Q166" s="2" t="s">
        <v>85</v>
      </c>
      <c r="R166" s="9" t="s">
        <v>666</v>
      </c>
      <c r="S166" s="2" t="s">
        <v>169</v>
      </c>
    </row>
    <row r="167" spans="1:19" ht="14.4" customHeight="1" x14ac:dyDescent="0.3">
      <c r="A167" s="7" t="str">
        <f t="shared" si="21"/>
        <v>fix.0606.121.norep</v>
      </c>
      <c r="B167" s="7" t="str">
        <f t="shared" si="22"/>
        <v>121</v>
      </c>
      <c r="C167" s="8" t="str">
        <f t="shared" si="23"/>
        <v>S. Norberti, episcopi</v>
      </c>
      <c r="D167" s="8" t="str">
        <f t="shared" si="23"/>
        <v>St. Norbert, Bishop</v>
      </c>
      <c r="E167" s="8" t="str">
        <f t="shared" si="24"/>
        <v>성 노르베르토 주교</v>
      </c>
      <c r="F167" s="7" t="s">
        <v>578</v>
      </c>
      <c r="G167" s="7" t="str">
        <f t="shared" si="25"/>
        <v>0606</v>
      </c>
      <c r="H167" s="7" t="str">
        <f t="shared" si="26"/>
        <v>121</v>
      </c>
      <c r="I167" s="7" t="str">
        <f t="shared" si="27"/>
        <v>norep</v>
      </c>
      <c r="J167" s="6" t="str">
        <f>IFERROR(_xlfn.CONCAT(_xlfn.TEXTSPLIT(SUBSTITUTE(SUBSTITUTE(LOWER(Q167),"æ","ae"), " de ", " "),{"b. ","ss. ","s. ","ss.mi ","in ",".",","," et","sanctae ","ę","ũ"})), "")</f>
        <v>norberti episcopi</v>
      </c>
      <c r="K167" s="6">
        <f t="shared" si="28"/>
        <v>9</v>
      </c>
      <c r="L167" s="6" t="str">
        <f t="shared" si="29"/>
        <v>episcopi</v>
      </c>
      <c r="M167" s="6"/>
      <c r="N167" s="1">
        <v>45814</v>
      </c>
      <c r="O167" s="3" t="s">
        <v>471</v>
      </c>
      <c r="P167" s="4" t="s">
        <v>9</v>
      </c>
      <c r="Q167" s="2" t="s">
        <v>86</v>
      </c>
      <c r="R167" s="9" t="s">
        <v>667</v>
      </c>
      <c r="S167" s="2" t="s">
        <v>170</v>
      </c>
    </row>
    <row r="168" spans="1:19" ht="14.4" customHeight="1" x14ac:dyDescent="0.3">
      <c r="A168" s="7" t="str">
        <f t="shared" si="21"/>
        <v/>
      </c>
      <c r="B168" s="7" t="str">
        <f t="shared" si="22"/>
        <v/>
      </c>
      <c r="C168" s="8" t="str">
        <f t="shared" si="23"/>
        <v/>
      </c>
      <c r="D168" s="8" t="str">
        <f t="shared" si="23"/>
        <v/>
      </c>
      <c r="E168" s="8" t="str">
        <f t="shared" si="24"/>
        <v/>
      </c>
      <c r="F168" s="7" t="s">
        <v>578</v>
      </c>
      <c r="G168" s="7" t="str">
        <f t="shared" si="25"/>
        <v>0607</v>
      </c>
      <c r="H168" s="7" t="str">
        <f t="shared" si="26"/>
        <v/>
      </c>
      <c r="I168" s="7" t="str">
        <f t="shared" si="27"/>
        <v/>
      </c>
      <c r="J168" s="6" t="str">
        <f>IFERROR(_xlfn.CONCAT(_xlfn.TEXTSPLIT(SUBSTITUTE(SUBSTITUTE(LOWER(Q168),"æ","ae"), " de ", " "),{"b. ","ss. ","s. ","ss.mi ","in ",".",","," et","sanctae ","ę","ũ"})), "")</f>
        <v/>
      </c>
      <c r="K168" s="6" t="str">
        <f t="shared" si="28"/>
        <v/>
      </c>
      <c r="L168" s="6" t="str">
        <f t="shared" si="29"/>
        <v/>
      </c>
      <c r="M168" s="6"/>
      <c r="N168" s="1">
        <v>45815</v>
      </c>
    </row>
    <row r="169" spans="1:19" ht="14.4" customHeight="1" x14ac:dyDescent="0.3">
      <c r="A169" s="7" t="str">
        <f t="shared" si="21"/>
        <v/>
      </c>
      <c r="B169" s="7" t="str">
        <f t="shared" si="22"/>
        <v/>
      </c>
      <c r="C169" s="8" t="str">
        <f t="shared" si="23"/>
        <v/>
      </c>
      <c r="D169" s="8" t="str">
        <f t="shared" si="23"/>
        <v/>
      </c>
      <c r="E169" s="8" t="str">
        <f t="shared" si="24"/>
        <v/>
      </c>
      <c r="F169" s="7" t="s">
        <v>578</v>
      </c>
      <c r="G169" s="7" t="str">
        <f t="shared" si="25"/>
        <v>0608</v>
      </c>
      <c r="H169" s="7" t="str">
        <f t="shared" si="26"/>
        <v/>
      </c>
      <c r="I169" s="7" t="str">
        <f t="shared" si="27"/>
        <v/>
      </c>
      <c r="J169" s="6" t="str">
        <f>IFERROR(_xlfn.CONCAT(_xlfn.TEXTSPLIT(SUBSTITUTE(SUBSTITUTE(LOWER(Q169),"æ","ae"), " de ", " "),{"b. ","ss. ","s. ","ss.mi ","in ",".",","," et","sanctae ","ę","ũ"})), "")</f>
        <v/>
      </c>
      <c r="K169" s="6" t="str">
        <f t="shared" si="28"/>
        <v/>
      </c>
      <c r="L169" s="6" t="str">
        <f t="shared" si="29"/>
        <v/>
      </c>
      <c r="M169" s="6"/>
      <c r="N169" s="1">
        <v>45816</v>
      </c>
    </row>
    <row r="170" spans="1:19" ht="14.4" customHeight="1" x14ac:dyDescent="0.3">
      <c r="A170" s="7" t="str">
        <f t="shared" si="21"/>
        <v>fix.0609.121.ephdi</v>
      </c>
      <c r="B170" s="7" t="str">
        <f t="shared" si="22"/>
        <v>121</v>
      </c>
      <c r="C170" s="8" t="str">
        <f t="shared" si="23"/>
        <v>S. Ephræm, diaconi et Ecclesiæ doctoris</v>
      </c>
      <c r="D170" s="8" t="str">
        <f t="shared" si="23"/>
        <v>St. Ephrem, Deacon and Doctor of the Church</v>
      </c>
      <c r="E170" s="8" t="str">
        <f t="shared" si="24"/>
        <v>성 에프렘 부제 학자</v>
      </c>
      <c r="F170" s="7" t="s">
        <v>578</v>
      </c>
      <c r="G170" s="7" t="str">
        <f t="shared" si="25"/>
        <v>0609</v>
      </c>
      <c r="H170" s="7" t="str">
        <f t="shared" si="26"/>
        <v>121</v>
      </c>
      <c r="I170" s="7" t="str">
        <f t="shared" si="27"/>
        <v>ephdi</v>
      </c>
      <c r="J170" s="6" t="str">
        <f>IFERROR(_xlfn.CONCAT(_xlfn.TEXTSPLIT(SUBSTITUTE(SUBSTITUTE(LOWER(Q170),"æ","ae"), " de ", " "),{"b. ","ss. ","s. ","ss.mi ","in ",".",","," et","sanctae ","ę","ũ"})), "")</f>
        <v>ephraem diaconi ecclesiae doctoris</v>
      </c>
      <c r="K170" s="6">
        <f t="shared" si="28"/>
        <v>8</v>
      </c>
      <c r="L170" s="6" t="str">
        <f t="shared" si="29"/>
        <v>diaconiecclesiaedoctoris</v>
      </c>
      <c r="M170" s="6"/>
      <c r="N170" s="1">
        <v>45817</v>
      </c>
      <c r="O170" s="3" t="s">
        <v>471</v>
      </c>
      <c r="P170" s="4" t="s">
        <v>9</v>
      </c>
      <c r="Q170" s="2" t="s">
        <v>87</v>
      </c>
      <c r="R170" s="9" t="s">
        <v>668</v>
      </c>
      <c r="S170" s="2" t="s">
        <v>171</v>
      </c>
    </row>
    <row r="171" spans="1:19" ht="14.4" customHeight="1" x14ac:dyDescent="0.3">
      <c r="A171" s="7" t="str">
        <f t="shared" si="21"/>
        <v/>
      </c>
      <c r="B171" s="7" t="str">
        <f t="shared" si="22"/>
        <v/>
      </c>
      <c r="C171" s="8" t="str">
        <f t="shared" si="23"/>
        <v/>
      </c>
      <c r="D171" s="8" t="str">
        <f t="shared" si="23"/>
        <v/>
      </c>
      <c r="E171" s="8" t="str">
        <f t="shared" si="24"/>
        <v/>
      </c>
      <c r="F171" s="7" t="s">
        <v>578</v>
      </c>
      <c r="G171" s="7" t="str">
        <f t="shared" si="25"/>
        <v>0610</v>
      </c>
      <c r="H171" s="7" t="str">
        <f t="shared" si="26"/>
        <v/>
      </c>
      <c r="I171" s="7" t="str">
        <f t="shared" si="27"/>
        <v/>
      </c>
      <c r="J171" s="6" t="str">
        <f>IFERROR(_xlfn.CONCAT(_xlfn.TEXTSPLIT(SUBSTITUTE(SUBSTITUTE(LOWER(Q171),"æ","ae"), " de ", " "),{"b. ","ss. ","s. ","ss.mi ","in ",".",","," et","sanctae ","ę","ũ"})), "")</f>
        <v/>
      </c>
      <c r="K171" s="6" t="str">
        <f t="shared" si="28"/>
        <v/>
      </c>
      <c r="L171" s="6" t="str">
        <f t="shared" si="29"/>
        <v/>
      </c>
      <c r="M171" s="6"/>
      <c r="N171" s="1">
        <v>45818</v>
      </c>
    </row>
    <row r="172" spans="1:19" ht="14.4" customHeight="1" x14ac:dyDescent="0.3">
      <c r="A172" s="7" t="str">
        <f t="shared" si="21"/>
        <v>fix.0611.101.barap</v>
      </c>
      <c r="B172" s="7" t="str">
        <f t="shared" si="22"/>
        <v>101</v>
      </c>
      <c r="C172" s="8" t="str">
        <f t="shared" si="23"/>
        <v>S. Barnabæ, apostoli</v>
      </c>
      <c r="D172" s="8" t="str">
        <f t="shared" si="23"/>
        <v>St. Barnabas, Apostle</v>
      </c>
      <c r="E172" s="8" t="str">
        <f t="shared" si="24"/>
        <v>성 바르나바 사도 기념일</v>
      </c>
      <c r="F172" s="7" t="s">
        <v>578</v>
      </c>
      <c r="G172" s="7" t="str">
        <f t="shared" si="25"/>
        <v>0611</v>
      </c>
      <c r="H172" s="7" t="str">
        <f t="shared" si="26"/>
        <v>101</v>
      </c>
      <c r="I172" s="7" t="str">
        <f t="shared" si="27"/>
        <v>barap</v>
      </c>
      <c r="J172" s="6" t="str">
        <f>IFERROR(_xlfn.CONCAT(_xlfn.TEXTSPLIT(SUBSTITUTE(SUBSTITUTE(LOWER(Q172),"æ","ae"), " de ", " "),{"b. ","ss. ","s. ","ss.mi ","in ",".",","," et","sanctae ","ę","ũ"})), "")</f>
        <v>barnabae apostoli</v>
      </c>
      <c r="K172" s="6">
        <f t="shared" si="28"/>
        <v>9</v>
      </c>
      <c r="L172" s="6" t="str">
        <f t="shared" si="29"/>
        <v>apostoli</v>
      </c>
      <c r="M172" s="6"/>
      <c r="N172" s="1">
        <v>45819</v>
      </c>
      <c r="O172" s="3">
        <v>101</v>
      </c>
      <c r="P172" s="4" t="s">
        <v>8</v>
      </c>
      <c r="Q172" s="2" t="s">
        <v>88</v>
      </c>
      <c r="R172" s="9" t="s">
        <v>669</v>
      </c>
      <c r="S172" s="2" t="s">
        <v>172</v>
      </c>
    </row>
    <row r="173" spans="1:19" ht="14.4" customHeight="1" x14ac:dyDescent="0.3">
      <c r="A173" s="7" t="str">
        <f t="shared" si="21"/>
        <v/>
      </c>
      <c r="B173" s="7" t="str">
        <f t="shared" si="22"/>
        <v/>
      </c>
      <c r="C173" s="8" t="str">
        <f t="shared" si="23"/>
        <v/>
      </c>
      <c r="D173" s="8" t="str">
        <f t="shared" si="23"/>
        <v/>
      </c>
      <c r="E173" s="8" t="str">
        <f t="shared" si="24"/>
        <v/>
      </c>
      <c r="F173" s="7" t="s">
        <v>578</v>
      </c>
      <c r="G173" s="7" t="str">
        <f t="shared" si="25"/>
        <v>0612</v>
      </c>
      <c r="H173" s="7" t="str">
        <f t="shared" si="26"/>
        <v/>
      </c>
      <c r="I173" s="7" t="str">
        <f t="shared" si="27"/>
        <v/>
      </c>
      <c r="J173" s="6" t="str">
        <f>IFERROR(_xlfn.CONCAT(_xlfn.TEXTSPLIT(SUBSTITUTE(SUBSTITUTE(LOWER(Q173),"æ","ae"), " de ", " "),{"b. ","ss. ","s. ","ss.mi ","in ",".",","," et","sanctae ","ę","ũ"})), "")</f>
        <v/>
      </c>
      <c r="K173" s="6" t="str">
        <f t="shared" si="28"/>
        <v/>
      </c>
      <c r="L173" s="6" t="str">
        <f t="shared" si="29"/>
        <v/>
      </c>
      <c r="M173" s="6"/>
      <c r="N173" s="1">
        <v>45820</v>
      </c>
    </row>
    <row r="174" spans="1:19" ht="14.4" customHeight="1" x14ac:dyDescent="0.3">
      <c r="A174" s="7" t="str">
        <f t="shared" si="21"/>
        <v>fix.0613.101.antpa</v>
      </c>
      <c r="B174" s="7" t="str">
        <f t="shared" si="22"/>
        <v>101</v>
      </c>
      <c r="C174" s="8" t="str">
        <f t="shared" si="23"/>
        <v>S. Antonii de Padova, presbyteri et Ecclesiæ doctoris</v>
      </c>
      <c r="D174" s="8" t="str">
        <f t="shared" si="23"/>
        <v>St. Anthony of Padua, Priest and Doctor of the Church</v>
      </c>
      <c r="E174" s="8" t="str">
        <f t="shared" si="24"/>
        <v>파도바의 성 안토니오 사제 학자 기념일</v>
      </c>
      <c r="F174" s="7" t="s">
        <v>578</v>
      </c>
      <c r="G174" s="7" t="str">
        <f t="shared" si="25"/>
        <v>0613</v>
      </c>
      <c r="H174" s="7" t="str">
        <f t="shared" si="26"/>
        <v>101</v>
      </c>
      <c r="I174" s="7" t="str">
        <f t="shared" si="27"/>
        <v>antpa</v>
      </c>
      <c r="J174" s="6" t="str">
        <f>IFERROR(_xlfn.CONCAT(_xlfn.TEXTSPLIT(SUBSTITUTE(SUBSTITUTE(LOWER(Q174),"æ","ae"), " de ", " "),{"b. ","ss. ","s. ","ss.mi ","in ",".",","," et","sanctae ","ę","ũ"})), "")</f>
        <v>antonii padova presbyteri ecclesiae doctoris</v>
      </c>
      <c r="K174" s="6">
        <f t="shared" si="28"/>
        <v>8</v>
      </c>
      <c r="L174" s="6" t="str">
        <f t="shared" si="29"/>
        <v>padovapresbyteriecclesiaedoctoris</v>
      </c>
      <c r="M174" s="6"/>
      <c r="N174" s="1">
        <v>45821</v>
      </c>
      <c r="O174" s="3">
        <v>101</v>
      </c>
      <c r="P174" s="4" t="s">
        <v>8</v>
      </c>
      <c r="Q174" s="2" t="s">
        <v>89</v>
      </c>
      <c r="R174" s="9" t="s">
        <v>670</v>
      </c>
      <c r="S174" s="2" t="s">
        <v>173</v>
      </c>
    </row>
    <row r="175" spans="1:19" ht="14.4" customHeight="1" x14ac:dyDescent="0.3">
      <c r="A175" s="7" t="str">
        <f t="shared" si="21"/>
        <v/>
      </c>
      <c r="B175" s="7" t="str">
        <f t="shared" si="22"/>
        <v/>
      </c>
      <c r="C175" s="8" t="str">
        <f t="shared" si="23"/>
        <v/>
      </c>
      <c r="D175" s="8" t="str">
        <f t="shared" si="23"/>
        <v/>
      </c>
      <c r="E175" s="8" t="str">
        <f t="shared" si="24"/>
        <v/>
      </c>
      <c r="F175" s="7" t="s">
        <v>578</v>
      </c>
      <c r="G175" s="7" t="str">
        <f t="shared" si="25"/>
        <v>0614</v>
      </c>
      <c r="H175" s="7" t="str">
        <f t="shared" si="26"/>
        <v/>
      </c>
      <c r="I175" s="7" t="str">
        <f t="shared" si="27"/>
        <v/>
      </c>
      <c r="J175" s="6" t="str">
        <f>IFERROR(_xlfn.CONCAT(_xlfn.TEXTSPLIT(SUBSTITUTE(SUBSTITUTE(LOWER(Q175),"æ","ae"), " de ", " "),{"b. ","ss. ","s. ","ss.mi ","in ",".",","," et","sanctae ","ę","ũ"})), "")</f>
        <v/>
      </c>
      <c r="K175" s="6" t="str">
        <f t="shared" si="28"/>
        <v/>
      </c>
      <c r="L175" s="6" t="str">
        <f t="shared" si="29"/>
        <v/>
      </c>
      <c r="M175" s="6"/>
      <c r="N175" s="1">
        <v>45822</v>
      </c>
    </row>
    <row r="176" spans="1:19" ht="14.4" customHeight="1" x14ac:dyDescent="0.3">
      <c r="A176" s="7" t="str">
        <f t="shared" si="21"/>
        <v/>
      </c>
      <c r="B176" s="7" t="str">
        <f t="shared" si="22"/>
        <v/>
      </c>
      <c r="C176" s="8" t="str">
        <f t="shared" si="23"/>
        <v/>
      </c>
      <c r="D176" s="8" t="str">
        <f t="shared" si="23"/>
        <v/>
      </c>
      <c r="E176" s="8" t="str">
        <f t="shared" si="24"/>
        <v/>
      </c>
      <c r="F176" s="7" t="s">
        <v>578</v>
      </c>
      <c r="G176" s="7" t="str">
        <f t="shared" si="25"/>
        <v>0615</v>
      </c>
      <c r="H176" s="7" t="str">
        <f t="shared" si="26"/>
        <v/>
      </c>
      <c r="I176" s="7" t="str">
        <f t="shared" si="27"/>
        <v/>
      </c>
      <c r="J176" s="6" t="str">
        <f>IFERROR(_xlfn.CONCAT(_xlfn.TEXTSPLIT(SUBSTITUTE(SUBSTITUTE(LOWER(Q176),"æ","ae"), " de ", " "),{"b. ","ss. ","s. ","ss.mi ","in ",".",","," et","sanctae ","ę","ũ"})), "")</f>
        <v/>
      </c>
      <c r="K176" s="6" t="str">
        <f t="shared" si="28"/>
        <v/>
      </c>
      <c r="L176" s="6" t="str">
        <f t="shared" si="29"/>
        <v/>
      </c>
      <c r="M176" s="6"/>
      <c r="N176" s="1">
        <v>45823</v>
      </c>
    </row>
    <row r="177" spans="1:20" ht="14.4" customHeight="1" x14ac:dyDescent="0.3">
      <c r="A177" s="7" t="str">
        <f t="shared" si="21"/>
        <v/>
      </c>
      <c r="B177" s="7" t="str">
        <f t="shared" si="22"/>
        <v/>
      </c>
      <c r="C177" s="8" t="str">
        <f t="shared" si="23"/>
        <v/>
      </c>
      <c r="D177" s="8" t="str">
        <f t="shared" si="23"/>
        <v/>
      </c>
      <c r="E177" s="8" t="str">
        <f t="shared" si="24"/>
        <v/>
      </c>
      <c r="F177" s="7" t="s">
        <v>578</v>
      </c>
      <c r="G177" s="7" t="str">
        <f t="shared" si="25"/>
        <v>0616</v>
      </c>
      <c r="H177" s="7" t="str">
        <f t="shared" si="26"/>
        <v/>
      </c>
      <c r="I177" s="7" t="str">
        <f t="shared" si="27"/>
        <v/>
      </c>
      <c r="J177" s="6" t="str">
        <f>IFERROR(_xlfn.CONCAT(_xlfn.TEXTSPLIT(SUBSTITUTE(SUBSTITUTE(LOWER(Q177),"æ","ae"), " de ", " "),{"b. ","ss. ","s. ","ss.mi ","in ",".",","," et","sanctae ","ę","ũ"})), "")</f>
        <v/>
      </c>
      <c r="K177" s="6" t="str">
        <f t="shared" si="28"/>
        <v/>
      </c>
      <c r="L177" s="6" t="str">
        <f t="shared" si="29"/>
        <v/>
      </c>
      <c r="M177" s="6"/>
      <c r="N177" s="1">
        <v>45824</v>
      </c>
    </row>
    <row r="178" spans="1:20" ht="14.4" customHeight="1" x14ac:dyDescent="0.3">
      <c r="A178" s="7" t="str">
        <f t="shared" si="21"/>
        <v/>
      </c>
      <c r="B178" s="7" t="str">
        <f t="shared" si="22"/>
        <v/>
      </c>
      <c r="C178" s="8" t="str">
        <f t="shared" si="23"/>
        <v/>
      </c>
      <c r="D178" s="8" t="str">
        <f t="shared" si="23"/>
        <v/>
      </c>
      <c r="E178" s="8" t="str">
        <f t="shared" si="24"/>
        <v/>
      </c>
      <c r="F178" s="7" t="s">
        <v>578</v>
      </c>
      <c r="G178" s="7" t="str">
        <f t="shared" si="25"/>
        <v>0617</v>
      </c>
      <c r="H178" s="7" t="str">
        <f t="shared" si="26"/>
        <v/>
      </c>
      <c r="I178" s="7" t="str">
        <f t="shared" si="27"/>
        <v/>
      </c>
      <c r="J178" s="6" t="str">
        <f>IFERROR(_xlfn.CONCAT(_xlfn.TEXTSPLIT(SUBSTITUTE(SUBSTITUTE(LOWER(Q178),"æ","ae"), " de ", " "),{"b. ","ss. ","s. ","ss.mi ","in ",".",","," et","sanctae ","ę","ũ"})), "")</f>
        <v/>
      </c>
      <c r="K178" s="6" t="str">
        <f t="shared" si="28"/>
        <v/>
      </c>
      <c r="L178" s="6" t="str">
        <f t="shared" si="29"/>
        <v/>
      </c>
      <c r="M178" s="6"/>
      <c r="N178" s="1">
        <v>45825</v>
      </c>
    </row>
    <row r="179" spans="1:20" ht="14.4" customHeight="1" x14ac:dyDescent="0.3">
      <c r="A179" s="7" t="str">
        <f t="shared" si="21"/>
        <v/>
      </c>
      <c r="B179" s="7" t="str">
        <f t="shared" si="22"/>
        <v/>
      </c>
      <c r="C179" s="8" t="str">
        <f t="shared" si="23"/>
        <v/>
      </c>
      <c r="D179" s="8" t="str">
        <f t="shared" si="23"/>
        <v/>
      </c>
      <c r="E179" s="8" t="str">
        <f t="shared" si="24"/>
        <v/>
      </c>
      <c r="F179" s="7" t="s">
        <v>578</v>
      </c>
      <c r="G179" s="7" t="str">
        <f t="shared" si="25"/>
        <v>0618</v>
      </c>
      <c r="H179" s="7" t="str">
        <f t="shared" si="26"/>
        <v/>
      </c>
      <c r="I179" s="7" t="str">
        <f t="shared" si="27"/>
        <v/>
      </c>
      <c r="J179" s="6" t="str">
        <f>IFERROR(_xlfn.CONCAT(_xlfn.TEXTSPLIT(SUBSTITUTE(SUBSTITUTE(LOWER(Q179),"æ","ae"), " de ", " "),{"b. ","ss. ","s. ","ss.mi ","in ",".",","," et","sanctae ","ę","ũ"})), "")</f>
        <v/>
      </c>
      <c r="K179" s="6" t="str">
        <f t="shared" si="28"/>
        <v/>
      </c>
      <c r="L179" s="6" t="str">
        <f t="shared" si="29"/>
        <v/>
      </c>
      <c r="M179" s="6"/>
      <c r="N179" s="1">
        <v>45826</v>
      </c>
    </row>
    <row r="180" spans="1:20" ht="14.4" customHeight="1" x14ac:dyDescent="0.3">
      <c r="A180" s="7" t="str">
        <f t="shared" si="21"/>
        <v>fix.0619.121.romab</v>
      </c>
      <c r="B180" s="7" t="str">
        <f t="shared" si="22"/>
        <v>121</v>
      </c>
      <c r="C180" s="8" t="str">
        <f t="shared" si="23"/>
        <v>S. Romualdi, abbatis</v>
      </c>
      <c r="D180" s="8" t="str">
        <f t="shared" si="23"/>
        <v>St. Romuald, Abbot</v>
      </c>
      <c r="E180" s="8" t="str">
        <f t="shared" si="24"/>
        <v>성 로무알도 아빠스</v>
      </c>
      <c r="F180" s="7" t="s">
        <v>578</v>
      </c>
      <c r="G180" s="7" t="str">
        <f t="shared" si="25"/>
        <v>0619</v>
      </c>
      <c r="H180" s="7" t="str">
        <f t="shared" si="26"/>
        <v>121</v>
      </c>
      <c r="I180" s="7" t="str">
        <f t="shared" si="27"/>
        <v>romab</v>
      </c>
      <c r="J180" s="6" t="str">
        <f>IFERROR(_xlfn.CONCAT(_xlfn.TEXTSPLIT(SUBSTITUTE(SUBSTITUTE(LOWER(Q180),"æ","ae"), " de ", " "),{"b. ","ss. ","s. ","ss.mi ","in ",".",","," et","sanctae ","ę","ũ"})), "")</f>
        <v>romualdi abbatis</v>
      </c>
      <c r="K180" s="6">
        <f t="shared" si="28"/>
        <v>9</v>
      </c>
      <c r="L180" s="6" t="str">
        <f t="shared" si="29"/>
        <v>abbatis</v>
      </c>
      <c r="M180" s="6"/>
      <c r="N180" s="1">
        <v>45827</v>
      </c>
      <c r="O180" s="3" t="s">
        <v>471</v>
      </c>
      <c r="P180" s="4" t="s">
        <v>9</v>
      </c>
      <c r="Q180" s="2" t="s">
        <v>90</v>
      </c>
      <c r="R180" s="9" t="s">
        <v>671</v>
      </c>
      <c r="S180" s="2" t="s">
        <v>174</v>
      </c>
    </row>
    <row r="181" spans="1:20" ht="14.4" customHeight="1" x14ac:dyDescent="0.3">
      <c r="A181" s="7" t="str">
        <f t="shared" si="21"/>
        <v/>
      </c>
      <c r="B181" s="7" t="str">
        <f t="shared" si="22"/>
        <v/>
      </c>
      <c r="C181" s="8" t="str">
        <f t="shared" si="23"/>
        <v/>
      </c>
      <c r="D181" s="8" t="str">
        <f t="shared" si="23"/>
        <v/>
      </c>
      <c r="E181" s="8" t="str">
        <f t="shared" si="24"/>
        <v/>
      </c>
      <c r="F181" s="7" t="s">
        <v>578</v>
      </c>
      <c r="G181" s="7" t="str">
        <f t="shared" si="25"/>
        <v>0620</v>
      </c>
      <c r="H181" s="7" t="str">
        <f t="shared" si="26"/>
        <v/>
      </c>
      <c r="I181" s="7" t="str">
        <f t="shared" si="27"/>
        <v/>
      </c>
      <c r="J181" s="6" t="str">
        <f>IFERROR(_xlfn.CONCAT(_xlfn.TEXTSPLIT(SUBSTITUTE(SUBSTITUTE(LOWER(Q181),"æ","ae"), " de ", " "),{"b. ","ss. ","s. ","ss.mi ","in ",".",","," et","sanctae ","ę","ũ"})), "")</f>
        <v/>
      </c>
      <c r="K181" s="6" t="str">
        <f t="shared" si="28"/>
        <v/>
      </c>
      <c r="L181" s="6" t="str">
        <f t="shared" si="29"/>
        <v/>
      </c>
      <c r="M181" s="6"/>
      <c r="N181" s="1">
        <v>45828</v>
      </c>
    </row>
    <row r="182" spans="1:20" ht="14.4" customHeight="1" x14ac:dyDescent="0.3">
      <c r="A182" s="7" t="str">
        <f t="shared" si="21"/>
        <v>fix.0621.101.alogo</v>
      </c>
      <c r="B182" s="7" t="str">
        <f t="shared" si="22"/>
        <v>101</v>
      </c>
      <c r="C182" s="8" t="str">
        <f t="shared" si="23"/>
        <v>S. Aloisii Gonzaga, religiosi</v>
      </c>
      <c r="D182" s="8" t="str">
        <f t="shared" si="23"/>
        <v>St. Aloysius Gonzaga, Religious</v>
      </c>
      <c r="E182" s="8" t="str">
        <f t="shared" si="24"/>
        <v>성 알로이시오 곤자가 수도자 기념일</v>
      </c>
      <c r="F182" s="7" t="s">
        <v>578</v>
      </c>
      <c r="G182" s="7" t="str">
        <f t="shared" si="25"/>
        <v>0621</v>
      </c>
      <c r="H182" s="7" t="str">
        <f t="shared" si="26"/>
        <v>101</v>
      </c>
      <c r="I182" s="7" t="str">
        <f t="shared" si="27"/>
        <v>alogo</v>
      </c>
      <c r="J182" s="6" t="str">
        <f>IFERROR(_xlfn.CONCAT(_xlfn.TEXTSPLIT(SUBSTITUTE(SUBSTITUTE(LOWER(Q182),"æ","ae"), " de ", " "),{"b. ","ss. ","s. ","ss.mi ","in ",".",","," et","sanctae ","ę","ũ"})), "")</f>
        <v>aloisii gonzaga religiosi</v>
      </c>
      <c r="K182" s="6">
        <f t="shared" si="28"/>
        <v>8</v>
      </c>
      <c r="L182" s="6" t="str">
        <f t="shared" si="29"/>
        <v>gonzagareligiosi</v>
      </c>
      <c r="M182" s="6"/>
      <c r="N182" s="1">
        <v>45829</v>
      </c>
      <c r="O182" s="3">
        <v>101</v>
      </c>
      <c r="P182" s="4" t="s">
        <v>8</v>
      </c>
      <c r="Q182" s="2" t="s">
        <v>91</v>
      </c>
      <c r="R182" s="9" t="s">
        <v>672</v>
      </c>
      <c r="S182" s="2" t="s">
        <v>175</v>
      </c>
    </row>
    <row r="183" spans="1:20" ht="14.4" customHeight="1" x14ac:dyDescent="0.3">
      <c r="A183" s="7" t="str">
        <f t="shared" si="21"/>
        <v>fix.0622.121.pauno</v>
      </c>
      <c r="B183" s="7" t="str">
        <f t="shared" si="22"/>
        <v>121</v>
      </c>
      <c r="C183" s="8" t="str">
        <f t="shared" si="23"/>
        <v>S. Paulini Nolani, episcopi</v>
      </c>
      <c r="D183" s="8" t="str">
        <f t="shared" si="23"/>
        <v>St. Paulinus of Nola, Bishop</v>
      </c>
      <c r="E183" s="8" t="str">
        <f t="shared" si="24"/>
        <v>놀라의 성 바울리노 주교</v>
      </c>
      <c r="F183" s="7" t="s">
        <v>578</v>
      </c>
      <c r="G183" s="7" t="str">
        <f t="shared" si="25"/>
        <v>0622</v>
      </c>
      <c r="H183" s="7" t="str">
        <f t="shared" si="26"/>
        <v>121</v>
      </c>
      <c r="I183" s="7" t="str">
        <f t="shared" si="27"/>
        <v>pauno</v>
      </c>
      <c r="J183" s="6" t="str">
        <f>IFERROR(_xlfn.CONCAT(_xlfn.TEXTSPLIT(SUBSTITUTE(SUBSTITUTE(LOWER(Q183),"æ","ae"), " de ", " "),{"b. ","ss. ","s. ","ss.mi ","in ",".",","," et","sanctae ","ę","ũ"})), "")</f>
        <v>paulini nolani episcopi</v>
      </c>
      <c r="K183" s="6">
        <f t="shared" si="28"/>
        <v>8</v>
      </c>
      <c r="L183" s="6" t="str">
        <f t="shared" si="29"/>
        <v>nolaniepiscopi</v>
      </c>
      <c r="M183" s="6"/>
      <c r="N183" s="1">
        <v>45830</v>
      </c>
      <c r="O183" s="3" t="s">
        <v>471</v>
      </c>
      <c r="P183" s="4" t="s">
        <v>9</v>
      </c>
      <c r="Q183" s="2" t="s">
        <v>92</v>
      </c>
      <c r="R183" s="9" t="s">
        <v>673</v>
      </c>
      <c r="S183" s="2" t="s">
        <v>176</v>
      </c>
    </row>
    <row r="184" spans="1:20" ht="14.4" customHeight="1" x14ac:dyDescent="0.3">
      <c r="A184" s="7" t="str">
        <f t="shared" si="21"/>
        <v>fix.0622.121.ioafi</v>
      </c>
      <c r="B184" s="7" t="str">
        <f t="shared" si="22"/>
        <v>121</v>
      </c>
      <c r="C184" s="8" t="str">
        <f t="shared" si="23"/>
        <v>Ss. Ioannis Fisher, episcopi, et Thomæ More, martyrum</v>
      </c>
      <c r="D184" s="8" t="str">
        <f t="shared" si="23"/>
        <v>Sts. John Fisher, Bishop, and Thomas More, Martyrs</v>
      </c>
      <c r="E184" s="8" t="str">
        <f t="shared" si="24"/>
        <v>성 요한 피셔 주교와 성 토마스 모어 순교자</v>
      </c>
      <c r="F184" s="7" t="s">
        <v>578</v>
      </c>
      <c r="G184" s="7" t="str">
        <f t="shared" si="25"/>
        <v>0622</v>
      </c>
      <c r="H184" s="7" t="str">
        <f t="shared" si="26"/>
        <v>121</v>
      </c>
      <c r="I184" s="7" t="str">
        <f t="shared" si="27"/>
        <v>ioafi</v>
      </c>
      <c r="J184" s="6" t="str">
        <f>IFERROR(_xlfn.CONCAT(_xlfn.TEXTSPLIT(SUBSTITUTE(SUBSTITUTE(LOWER(Q184),"æ","ae"), " de ", " "),{"b. ","ss. ","s. ","ss.mi ","in ",".",","," et","sanctae ","ę","ũ"})), "")</f>
        <v>ioannis fisher episcopi thomae more martyrum</v>
      </c>
      <c r="K184" s="6">
        <f t="shared" si="28"/>
        <v>8</v>
      </c>
      <c r="L184" s="6" t="str">
        <f t="shared" si="29"/>
        <v>fisherepiscopithomaemoremartyrum</v>
      </c>
      <c r="M184" s="6"/>
      <c r="N184" s="1">
        <v>45830</v>
      </c>
      <c r="O184" s="3" t="s">
        <v>471</v>
      </c>
      <c r="P184" s="4" t="s">
        <v>9</v>
      </c>
      <c r="Q184" s="2" t="s">
        <v>93</v>
      </c>
      <c r="R184" s="9" t="s">
        <v>674</v>
      </c>
      <c r="S184" s="2" t="s">
        <v>177</v>
      </c>
    </row>
    <row r="185" spans="1:20" ht="14.4" customHeight="1" x14ac:dyDescent="0.3">
      <c r="A185" s="7" t="str">
        <f t="shared" si="21"/>
        <v/>
      </c>
      <c r="B185" s="7" t="str">
        <f t="shared" si="22"/>
        <v/>
      </c>
      <c r="C185" s="8" t="str">
        <f t="shared" si="23"/>
        <v/>
      </c>
      <c r="D185" s="8" t="str">
        <f t="shared" si="23"/>
        <v/>
      </c>
      <c r="E185" s="8" t="str">
        <f t="shared" si="24"/>
        <v/>
      </c>
      <c r="F185" s="7" t="s">
        <v>578</v>
      </c>
      <c r="G185" s="7" t="str">
        <f t="shared" si="25"/>
        <v>0623</v>
      </c>
      <c r="H185" s="7" t="str">
        <f t="shared" si="26"/>
        <v/>
      </c>
      <c r="I185" s="7" t="str">
        <f t="shared" si="27"/>
        <v/>
      </c>
      <c r="J185" s="6" t="str">
        <f>IFERROR(_xlfn.CONCAT(_xlfn.TEXTSPLIT(SUBSTITUTE(SUBSTITUTE(LOWER(Q185),"æ","ae"), " de ", " "),{"b. ","ss. ","s. ","ss.mi ","in ",".",","," et","sanctae ","ę","ũ"})), "")</f>
        <v/>
      </c>
      <c r="K185" s="6" t="str">
        <f t="shared" si="28"/>
        <v/>
      </c>
      <c r="L185" s="6" t="str">
        <f t="shared" si="29"/>
        <v/>
      </c>
      <c r="M185" s="6"/>
      <c r="N185" s="1">
        <v>45831</v>
      </c>
    </row>
    <row r="186" spans="1:20" ht="14.4" customHeight="1" x14ac:dyDescent="0.3">
      <c r="A186" s="7" t="str">
        <f t="shared" si="21"/>
        <v>fix.0624.031.natio</v>
      </c>
      <c r="B186" s="7" t="str">
        <f t="shared" si="22"/>
        <v>031</v>
      </c>
      <c r="C186" s="8" t="str">
        <f t="shared" si="23"/>
        <v>IN NATIVITATE S. IOANNIS BAPTISTÆ</v>
      </c>
      <c r="D186" s="8" t="str">
        <f t="shared" si="23"/>
        <v>The Nativity of St. John the Baptist</v>
      </c>
      <c r="E186" s="8" t="str">
        <f t="shared" si="24"/>
        <v>성 요한 세례자 탄생 대축일</v>
      </c>
      <c r="F186" s="7" t="s">
        <v>578</v>
      </c>
      <c r="G186" s="7" t="str">
        <f t="shared" si="25"/>
        <v>0624</v>
      </c>
      <c r="H186" s="7" t="str">
        <f t="shared" si="26"/>
        <v>031</v>
      </c>
      <c r="I186" s="7" t="str">
        <f t="shared" si="27"/>
        <v>natio</v>
      </c>
      <c r="J186" s="6" t="str">
        <f>IFERROR(_xlfn.CONCAT(_xlfn.TEXTSPLIT(SUBSTITUTE(SUBSTITUTE(LOWER(Q186),"æ","ae"), " de ", " "),{"b. ","ss. ","s. ","ss.mi ","in ",".",","," et","sanctae ","ę","ũ"})), "")</f>
        <v>nativitate ioannis baptistae</v>
      </c>
      <c r="K186" s="6">
        <f t="shared" si="28"/>
        <v>11</v>
      </c>
      <c r="L186" s="6" t="str">
        <f t="shared" si="29"/>
        <v>ioannisbaptistae</v>
      </c>
      <c r="M186" s="6"/>
      <c r="N186" s="1">
        <v>45832</v>
      </c>
      <c r="O186" s="3" t="s">
        <v>459</v>
      </c>
      <c r="P186" s="4" t="s">
        <v>7</v>
      </c>
      <c r="Q186" s="2" t="s">
        <v>182</v>
      </c>
      <c r="R186" s="9" t="s">
        <v>675</v>
      </c>
      <c r="S186" s="2" t="s">
        <v>178</v>
      </c>
    </row>
    <row r="187" spans="1:20" ht="14.4" customHeight="1" x14ac:dyDescent="0.3">
      <c r="A187" s="7" t="str">
        <f t="shared" si="21"/>
        <v/>
      </c>
      <c r="B187" s="7" t="str">
        <f t="shared" si="22"/>
        <v/>
      </c>
      <c r="C187" s="8" t="str">
        <f t="shared" si="23"/>
        <v/>
      </c>
      <c r="D187" s="8" t="str">
        <f t="shared" si="23"/>
        <v/>
      </c>
      <c r="E187" s="8" t="str">
        <f t="shared" si="24"/>
        <v/>
      </c>
      <c r="F187" s="7" t="s">
        <v>578</v>
      </c>
      <c r="G187" s="7" t="str">
        <f t="shared" si="25"/>
        <v>0625</v>
      </c>
      <c r="H187" s="7" t="str">
        <f t="shared" si="26"/>
        <v/>
      </c>
      <c r="I187" s="7" t="str">
        <f t="shared" si="27"/>
        <v/>
      </c>
      <c r="J187" s="6" t="str">
        <f>IFERROR(_xlfn.CONCAT(_xlfn.TEXTSPLIT(SUBSTITUTE(SUBSTITUTE(LOWER(Q187),"æ","ae"), " de ", " "),{"b. ","ss. ","s. ","ss.mi ","in ",".",","," et","sanctae ","ę","ũ"})), "")</f>
        <v/>
      </c>
      <c r="K187" s="6" t="str">
        <f t="shared" si="28"/>
        <v/>
      </c>
      <c r="L187" s="6" t="str">
        <f t="shared" si="29"/>
        <v/>
      </c>
      <c r="M187" s="6"/>
      <c r="N187" s="1">
        <v>45833</v>
      </c>
    </row>
    <row r="188" spans="1:20" ht="14.4" customHeight="1" x14ac:dyDescent="0.3">
      <c r="A188" s="7" t="str">
        <f t="shared" si="21"/>
        <v/>
      </c>
      <c r="B188" s="7" t="str">
        <f t="shared" si="22"/>
        <v/>
      </c>
      <c r="C188" s="8" t="str">
        <f t="shared" si="23"/>
        <v/>
      </c>
      <c r="D188" s="8" t="str">
        <f t="shared" si="23"/>
        <v/>
      </c>
      <c r="E188" s="8" t="str">
        <f t="shared" si="24"/>
        <v/>
      </c>
      <c r="F188" s="7" t="s">
        <v>578</v>
      </c>
      <c r="G188" s="7" t="str">
        <f t="shared" si="25"/>
        <v>0626</v>
      </c>
      <c r="H188" s="7" t="str">
        <f t="shared" si="26"/>
        <v/>
      </c>
      <c r="I188" s="7" t="str">
        <f t="shared" si="27"/>
        <v/>
      </c>
      <c r="J188" s="6" t="str">
        <f>IFERROR(_xlfn.CONCAT(_xlfn.TEXTSPLIT(SUBSTITUTE(SUBSTITUTE(LOWER(Q188),"æ","ae"), " de ", " "),{"b. ","ss. ","s. ","ss.mi ","in ",".",","," et","sanctae ","ę","ũ"})), "")</f>
        <v/>
      </c>
      <c r="K188" s="6" t="str">
        <f t="shared" si="28"/>
        <v/>
      </c>
      <c r="L188" s="6" t="str">
        <f t="shared" si="29"/>
        <v/>
      </c>
      <c r="M188" s="6"/>
      <c r="N188" s="1">
        <v>45834</v>
      </c>
    </row>
    <row r="189" spans="1:20" ht="14.4" customHeight="1" x14ac:dyDescent="0.3">
      <c r="A189" s="7" t="str">
        <f t="shared" si="21"/>
        <v>fix.0627.121.cyral</v>
      </c>
      <c r="B189" s="7" t="str">
        <f t="shared" si="22"/>
        <v>121</v>
      </c>
      <c r="C189" s="8" t="str">
        <f t="shared" si="23"/>
        <v>S. Cyrilli Alexandrini, episcopi et Ecclesiæ doctoris</v>
      </c>
      <c r="D189" s="8" t="str">
        <f t="shared" si="23"/>
        <v>St. Cyril of Alexandria, Bishop and Doctor of the Church</v>
      </c>
      <c r="E189" s="8" t="str">
        <f t="shared" si="24"/>
        <v>알렉산드리아의 성 치릴로 주교 학자</v>
      </c>
      <c r="F189" s="7" t="s">
        <v>578</v>
      </c>
      <c r="G189" s="7" t="str">
        <f t="shared" si="25"/>
        <v>0627</v>
      </c>
      <c r="H189" s="7" t="str">
        <f t="shared" si="26"/>
        <v>121</v>
      </c>
      <c r="I189" s="7" t="str">
        <f t="shared" si="27"/>
        <v>cyral</v>
      </c>
      <c r="J189" s="6" t="str">
        <f>IFERROR(_xlfn.CONCAT(_xlfn.TEXTSPLIT(SUBSTITUTE(SUBSTITUTE(LOWER(Q189),"æ","ae"), " de ", " "),{"b. ","ss. ","s. ","ss.mi ","in ",".",","," et","sanctae ","ę","ũ"})), "")</f>
        <v>cyrilli alexandrini episcopi ecclesiae doctoris</v>
      </c>
      <c r="K189" s="6">
        <f t="shared" si="28"/>
        <v>8</v>
      </c>
      <c r="L189" s="6" t="str">
        <f t="shared" si="29"/>
        <v>alexandriniepiscopiecclesiaedoctoris</v>
      </c>
      <c r="M189" s="6"/>
      <c r="N189" s="1">
        <v>45835</v>
      </c>
      <c r="O189" s="3" t="s">
        <v>471</v>
      </c>
      <c r="P189" s="4" t="s">
        <v>9</v>
      </c>
      <c r="Q189" s="2" t="s">
        <v>183</v>
      </c>
      <c r="R189" s="9" t="s">
        <v>676</v>
      </c>
      <c r="S189" s="2" t="s">
        <v>179</v>
      </c>
    </row>
    <row r="190" spans="1:20" ht="14.4" customHeight="1" x14ac:dyDescent="0.3">
      <c r="A190" s="7" t="str">
        <f t="shared" si="21"/>
        <v>fix.0628.101.ireep</v>
      </c>
      <c r="B190" s="7" t="str">
        <f t="shared" si="22"/>
        <v>101</v>
      </c>
      <c r="C190" s="8" t="str">
        <f t="shared" si="23"/>
        <v>S. Irenæi, episcopi, martyris et Ecclesiæ doctoris</v>
      </c>
      <c r="D190" s="8" t="str">
        <f t="shared" si="23"/>
        <v>St. Irenaeus, Bishop and Martyr</v>
      </c>
      <c r="E190" s="8" t="str">
        <f t="shared" si="24"/>
        <v>성 이레네오 주교 학자 순교자 기념일</v>
      </c>
      <c r="F190" s="7" t="s">
        <v>578</v>
      </c>
      <c r="G190" s="7" t="str">
        <f t="shared" si="25"/>
        <v>0628</v>
      </c>
      <c r="H190" s="7" t="str">
        <f t="shared" si="26"/>
        <v>101</v>
      </c>
      <c r="I190" s="7" t="str">
        <f t="shared" si="27"/>
        <v>ireep</v>
      </c>
      <c r="J190" s="6" t="str">
        <f>IFERROR(_xlfn.CONCAT(_xlfn.TEXTSPLIT(SUBSTITUTE(SUBSTITUTE(LOWER(Q190),"æ","ae"), " de ", " "),{"b. ","ss. ","s. ","ss.mi ","in ",".",","," et","sanctae ","ę","ũ"})), "")</f>
        <v>irenaei episcopi martyris ecclesiae doctoris</v>
      </c>
      <c r="K190" s="6">
        <f t="shared" si="28"/>
        <v>8</v>
      </c>
      <c r="L190" s="6" t="str">
        <f t="shared" si="29"/>
        <v>episcopimartyrisecclesiaedoctoris</v>
      </c>
      <c r="M190" s="6"/>
      <c r="N190" s="1">
        <v>45836</v>
      </c>
      <c r="O190" s="3">
        <v>101</v>
      </c>
      <c r="P190" s="4" t="s">
        <v>8</v>
      </c>
      <c r="Q190" s="2" t="s">
        <v>438</v>
      </c>
      <c r="R190" s="9" t="s">
        <v>677</v>
      </c>
      <c r="S190" s="2" t="s">
        <v>439</v>
      </c>
      <c r="T190" t="s">
        <v>440</v>
      </c>
    </row>
    <row r="191" spans="1:20" ht="14.4" customHeight="1" x14ac:dyDescent="0.3">
      <c r="A191" s="7" t="str">
        <f t="shared" si="21"/>
        <v>fix.0629.031.petpa</v>
      </c>
      <c r="B191" s="7" t="str">
        <f t="shared" si="22"/>
        <v>031</v>
      </c>
      <c r="C191" s="8" t="str">
        <f t="shared" si="23"/>
        <v>Ss. PETRI ET PAULI, APOSTOLORUM</v>
      </c>
      <c r="D191" s="8" t="str">
        <f t="shared" si="23"/>
        <v>Sts. Peter and Paul, Apostles</v>
      </c>
      <c r="E191" s="8" t="str">
        <f t="shared" si="24"/>
        <v>성 베드로와 성 바오로 사도 대축일</v>
      </c>
      <c r="F191" s="7" t="s">
        <v>578</v>
      </c>
      <c r="G191" s="7" t="str">
        <f t="shared" si="25"/>
        <v>0629</v>
      </c>
      <c r="H191" s="7" t="str">
        <f t="shared" si="26"/>
        <v>031</v>
      </c>
      <c r="I191" s="7" t="str">
        <f t="shared" si="27"/>
        <v>petpa</v>
      </c>
      <c r="J191" s="6" t="str">
        <f>IFERROR(_xlfn.CONCAT(_xlfn.TEXTSPLIT(SUBSTITUTE(SUBSTITUTE(LOWER(Q191),"æ","ae"), " de ", " "),{"b. ","ss. ","s. ","ss.mi ","in ",".",","," et","sanctae ","ę","ũ"})), "")</f>
        <v>petri pauli apostolorum</v>
      </c>
      <c r="K191" s="6">
        <f t="shared" si="28"/>
        <v>6</v>
      </c>
      <c r="L191" s="6" t="str">
        <f t="shared" si="29"/>
        <v>pauliapostolorum</v>
      </c>
      <c r="M191" s="6"/>
      <c r="N191" s="1">
        <v>45837</v>
      </c>
      <c r="O191" s="3" t="s">
        <v>459</v>
      </c>
      <c r="P191" s="4" t="s">
        <v>7</v>
      </c>
      <c r="Q191" s="2" t="s">
        <v>184</v>
      </c>
      <c r="R191" s="9" t="s">
        <v>678</v>
      </c>
      <c r="S191" s="2" t="s">
        <v>180</v>
      </c>
    </row>
    <row r="192" spans="1:20" ht="14.4" customHeight="1" x14ac:dyDescent="0.3">
      <c r="A192" s="7" t="str">
        <f t="shared" si="21"/>
        <v>fix.0630.121.proro</v>
      </c>
      <c r="B192" s="7" t="str">
        <f t="shared" si="22"/>
        <v>121</v>
      </c>
      <c r="C192" s="8" t="str">
        <f t="shared" si="23"/>
        <v>Ss. Protomartyrum S. Romanæ Ecclesiæ</v>
      </c>
      <c r="D192" s="8" t="str">
        <f t="shared" si="23"/>
        <v>The First Martyrs of the Holy Roman Church</v>
      </c>
      <c r="E192" s="8" t="str">
        <f t="shared" si="24"/>
        <v>로마 교회의 초기 순교자들</v>
      </c>
      <c r="F192" s="7" t="s">
        <v>578</v>
      </c>
      <c r="G192" s="7" t="str">
        <f t="shared" si="25"/>
        <v>0630</v>
      </c>
      <c r="H192" s="7" t="str">
        <f t="shared" si="26"/>
        <v>121</v>
      </c>
      <c r="I192" s="7" t="str">
        <f t="shared" si="27"/>
        <v>proro</v>
      </c>
      <c r="J192" s="6" t="str">
        <f>IFERROR(_xlfn.CONCAT(_xlfn.TEXTSPLIT(SUBSTITUTE(SUBSTITUTE(LOWER(Q192),"æ","ae"), " de ", " "),{"b. ","ss. ","s. ","ss.mi ","in ",".",","," et","sanctae ","ę","ũ"})), "")</f>
        <v>protomartyrum romanae ecclesiae</v>
      </c>
      <c r="K192" s="6">
        <f t="shared" si="28"/>
        <v>14</v>
      </c>
      <c r="L192" s="6" t="str">
        <f t="shared" si="29"/>
        <v>romanaeecclesiae</v>
      </c>
      <c r="M192" s="6"/>
      <c r="N192" s="1">
        <v>45838</v>
      </c>
      <c r="O192" s="3" t="s">
        <v>471</v>
      </c>
      <c r="P192" s="4" t="s">
        <v>9</v>
      </c>
      <c r="Q192" s="2" t="s">
        <v>185</v>
      </c>
      <c r="R192" s="9" t="s">
        <v>679</v>
      </c>
      <c r="S192" s="2" t="s">
        <v>181</v>
      </c>
    </row>
    <row r="193" spans="1:19" ht="14.4" customHeight="1" x14ac:dyDescent="0.3">
      <c r="A193" s="7" t="str">
        <f t="shared" si="21"/>
        <v/>
      </c>
      <c r="B193" s="7" t="str">
        <f t="shared" si="22"/>
        <v/>
      </c>
      <c r="C193" s="8" t="str">
        <f t="shared" si="23"/>
        <v/>
      </c>
      <c r="D193" s="8" t="str">
        <f t="shared" si="23"/>
        <v/>
      </c>
      <c r="E193" s="8" t="str">
        <f t="shared" si="24"/>
        <v/>
      </c>
      <c r="F193" s="7" t="s">
        <v>578</v>
      </c>
      <c r="G193" s="7" t="str">
        <f t="shared" si="25"/>
        <v>0701</v>
      </c>
      <c r="H193" s="7" t="str">
        <f t="shared" si="26"/>
        <v/>
      </c>
      <c r="I193" s="7" t="str">
        <f t="shared" si="27"/>
        <v/>
      </c>
      <c r="J193" s="6" t="str">
        <f>IFERROR(_xlfn.CONCAT(_xlfn.TEXTSPLIT(SUBSTITUTE(SUBSTITUTE(LOWER(Q193),"æ","ae"), " de ", " "),{"b. ","ss. ","s. ","ss.mi ","in ",".",","," et","sanctae ","ę","ũ"})), "")</f>
        <v/>
      </c>
      <c r="K193" s="6" t="str">
        <f t="shared" si="28"/>
        <v/>
      </c>
      <c r="L193" s="6" t="str">
        <f t="shared" si="29"/>
        <v/>
      </c>
      <c r="M193" s="6"/>
      <c r="N193" s="1">
        <v>45839</v>
      </c>
    </row>
    <row r="194" spans="1:19" ht="14.4" customHeight="1" x14ac:dyDescent="0.3">
      <c r="A194" s="7" t="str">
        <f t="shared" si="21"/>
        <v/>
      </c>
      <c r="B194" s="7" t="str">
        <f t="shared" si="22"/>
        <v/>
      </c>
      <c r="C194" s="8" t="str">
        <f t="shared" si="23"/>
        <v/>
      </c>
      <c r="D194" s="8" t="str">
        <f t="shared" si="23"/>
        <v/>
      </c>
      <c r="E194" s="8" t="str">
        <f t="shared" si="24"/>
        <v/>
      </c>
      <c r="F194" s="7" t="s">
        <v>578</v>
      </c>
      <c r="G194" s="7" t="str">
        <f t="shared" si="25"/>
        <v>0702</v>
      </c>
      <c r="H194" s="7" t="str">
        <f t="shared" si="26"/>
        <v/>
      </c>
      <c r="I194" s="7" t="str">
        <f t="shared" si="27"/>
        <v/>
      </c>
      <c r="J194" s="6" t="str">
        <f>IFERROR(_xlfn.CONCAT(_xlfn.TEXTSPLIT(SUBSTITUTE(SUBSTITUTE(LOWER(Q194),"æ","ae"), " de ", " "),{"b. ","ss. ","s. ","ss.mi ","in ",".",","," et","sanctae ","ę","ũ"})), "")</f>
        <v/>
      </c>
      <c r="K194" s="6" t="str">
        <f t="shared" si="28"/>
        <v/>
      </c>
      <c r="L194" s="6" t="str">
        <f t="shared" si="29"/>
        <v/>
      </c>
      <c r="M194" s="6"/>
      <c r="N194" s="1">
        <v>45840</v>
      </c>
    </row>
    <row r="195" spans="1:19" ht="14.4" customHeight="1" x14ac:dyDescent="0.3">
      <c r="A195" s="7" t="str">
        <f t="shared" ref="A195:A258" si="30">IF(OR(F195="",G195="",H195="",I195=""),"",_xlfn.CONCAT(F195,".",G195,".",H195,".",I195))</f>
        <v>fix.0703.071.thoap</v>
      </c>
      <c r="B195" s="7" t="str">
        <f t="shared" si="22"/>
        <v>071</v>
      </c>
      <c r="C195" s="8" t="str">
        <f t="shared" si="23"/>
        <v>S. Thomæ, apostoli</v>
      </c>
      <c r="D195" s="8" t="str">
        <f t="shared" si="23"/>
        <v xml:space="preserve">St. Thomas, Apostle </v>
      </c>
      <c r="E195" s="8" t="str">
        <f t="shared" si="24"/>
        <v>성 토마스 사도 축일</v>
      </c>
      <c r="F195" s="7" t="s">
        <v>578</v>
      </c>
      <c r="G195" s="7" t="str">
        <f t="shared" si="25"/>
        <v>0703</v>
      </c>
      <c r="H195" s="7" t="str">
        <f t="shared" si="26"/>
        <v>071</v>
      </c>
      <c r="I195" s="7" t="str">
        <f t="shared" si="27"/>
        <v>thoap</v>
      </c>
      <c r="J195" s="6" t="str">
        <f>IFERROR(_xlfn.CONCAT(_xlfn.TEXTSPLIT(SUBSTITUTE(SUBSTITUTE(LOWER(Q195),"æ","ae"), " de ", " "),{"b. ","ss. ","s. ","ss.mi ","in ",".",","," et","sanctae ","ę","ũ"})), "")</f>
        <v>thomae apostoli</v>
      </c>
      <c r="K195" s="6">
        <f t="shared" si="28"/>
        <v>7</v>
      </c>
      <c r="L195" s="6" t="str">
        <f t="shared" si="29"/>
        <v>apostoli</v>
      </c>
      <c r="M195" s="6"/>
      <c r="N195" s="1">
        <v>45841</v>
      </c>
      <c r="O195" s="3" t="s">
        <v>463</v>
      </c>
      <c r="P195" s="4" t="s">
        <v>20</v>
      </c>
      <c r="Q195" s="2" t="s">
        <v>186</v>
      </c>
      <c r="R195" s="9" t="s">
        <v>682</v>
      </c>
      <c r="S195" s="2" t="s">
        <v>305</v>
      </c>
    </row>
    <row r="196" spans="1:19" ht="14.4" customHeight="1" x14ac:dyDescent="0.3">
      <c r="A196" s="7" t="str">
        <f t="shared" si="30"/>
        <v>fix.0704.121.elilu</v>
      </c>
      <c r="B196" s="7" t="str">
        <f t="shared" ref="B196:B259" si="31">IF(O196="","",TEXT(O196,"0##"))</f>
        <v>121</v>
      </c>
      <c r="C196" s="8" t="str">
        <f t="shared" ref="C196:D259" si="32">IF(Q196="","",TEXT(Q196,""))</f>
        <v>S. Elisabeth Lusitaniæ</v>
      </c>
      <c r="D196" s="8" t="str">
        <f t="shared" si="32"/>
        <v/>
      </c>
      <c r="E196" s="8" t="str">
        <f t="shared" ref="E196:E259" si="33">IF(S196="","",TEXT(S196,""))</f>
        <v>포르투갈의 성녀 엘리사벳</v>
      </c>
      <c r="F196" s="7" t="s">
        <v>578</v>
      </c>
      <c r="G196" s="7" t="str">
        <f t="shared" ref="G196:G259" si="34">TEXT(N196, "mmdd")</f>
        <v>0704</v>
      </c>
      <c r="H196" s="7" t="str">
        <f t="shared" ref="H196:H259" si="35">IF(ISBLANK(O196), "", TEXT(O196, "0##"))</f>
        <v>121</v>
      </c>
      <c r="I196" s="7" t="str">
        <f t="shared" ref="I196:I259" si="36">IF(J196="","",IF(K196="",LEFT(J196,5),IF(K196&lt;4,_xlfn.CONCAT(LEFT(J196,K196-1),LEFT(L196,5-K196+1)),_xlfn.CONCAT(LEFT(J196,3),LEFT(L196,2)))))</f>
        <v>elilu</v>
      </c>
      <c r="J196" s="6" t="str">
        <f>IFERROR(_xlfn.CONCAT(_xlfn.TEXTSPLIT(SUBSTITUTE(SUBSTITUTE(LOWER(Q196),"æ","ae"), " de ", " "),{"b. ","ss. ","s. ","ss.mi ","in ",".",","," et","sanctae ","ę","ũ"})), "")</f>
        <v>elisabeth lusitaniae</v>
      </c>
      <c r="K196" s="6">
        <f t="shared" ref="K196:K259" si="37">IFERROR(FIND(" ", J196), "")</f>
        <v>10</v>
      </c>
      <c r="L196" s="6" t="str">
        <f t="shared" ref="L196:L259" si="38">SUBSTITUTE(IFERROR(RIGHT(J196, LEN(J196)-K196), ""), " ", "")</f>
        <v>lusitaniae</v>
      </c>
      <c r="M196" s="6"/>
      <c r="N196" s="1">
        <v>45842</v>
      </c>
      <c r="O196" s="3" t="s">
        <v>471</v>
      </c>
      <c r="P196" s="4" t="s">
        <v>9</v>
      </c>
      <c r="Q196" s="2" t="s">
        <v>187</v>
      </c>
      <c r="S196" s="2" t="s">
        <v>306</v>
      </c>
    </row>
    <row r="197" spans="1:19" ht="14.4" customHeight="1" x14ac:dyDescent="0.3">
      <c r="A197" s="7" t="str">
        <f t="shared" si="30"/>
        <v>fix.0705.121.antma</v>
      </c>
      <c r="B197" s="7" t="str">
        <f t="shared" si="31"/>
        <v>121</v>
      </c>
      <c r="C197" s="8" t="str">
        <f t="shared" si="32"/>
        <v>S. Antonii Mariæ Zaccaria, presbyteri</v>
      </c>
      <c r="D197" s="8" t="str">
        <f t="shared" si="32"/>
        <v>St. Anthony Zaccaria, Priest</v>
      </c>
      <c r="E197" s="8" t="str">
        <f t="shared" si="33"/>
        <v>성 안토니오 마리아 즈카르야 사제</v>
      </c>
      <c r="F197" s="7" t="s">
        <v>578</v>
      </c>
      <c r="G197" s="7" t="str">
        <f t="shared" si="34"/>
        <v>0705</v>
      </c>
      <c r="H197" s="7" t="str">
        <f t="shared" si="35"/>
        <v>121</v>
      </c>
      <c r="I197" s="7" t="str">
        <f t="shared" si="36"/>
        <v>antma</v>
      </c>
      <c r="J197" s="6" t="str">
        <f>IFERROR(_xlfn.CONCAT(_xlfn.TEXTSPLIT(SUBSTITUTE(SUBSTITUTE(LOWER(Q197),"æ","ae"), " de ", " "),{"b. ","ss. ","s. ","ss.mi ","in ",".",","," et","sanctae ","ę","ũ"})), "")</f>
        <v>antonii mariae zaccaria presbyteri</v>
      </c>
      <c r="K197" s="6">
        <f t="shared" si="37"/>
        <v>8</v>
      </c>
      <c r="L197" s="6" t="str">
        <f t="shared" si="38"/>
        <v>mariaezaccariapresbyteri</v>
      </c>
      <c r="M197" s="6"/>
      <c r="N197" s="1">
        <v>45843</v>
      </c>
      <c r="O197" s="3" t="s">
        <v>471</v>
      </c>
      <c r="P197" s="4" t="s">
        <v>9</v>
      </c>
      <c r="Q197" s="2" t="s">
        <v>188</v>
      </c>
      <c r="R197" s="9" t="s">
        <v>683</v>
      </c>
      <c r="S197" s="2" t="s">
        <v>307</v>
      </c>
    </row>
    <row r="198" spans="1:19" ht="14.4" customHeight="1" x14ac:dyDescent="0.3">
      <c r="A198" s="7" t="str">
        <f t="shared" si="30"/>
        <v>fix.0706.121.margo</v>
      </c>
      <c r="B198" s="7" t="str">
        <f t="shared" si="31"/>
        <v>121</v>
      </c>
      <c r="C198" s="8" t="str">
        <f t="shared" si="32"/>
        <v>S. Mariæ Goretti, virginis et martyris</v>
      </c>
      <c r="D198" s="8" t="str">
        <f t="shared" si="32"/>
        <v>St. Maria Goretti, Virgin and Martyr</v>
      </c>
      <c r="E198" s="8" t="str">
        <f t="shared" si="33"/>
        <v>성녀 마리아 고레티 동정 순교자</v>
      </c>
      <c r="F198" s="7" t="s">
        <v>578</v>
      </c>
      <c r="G198" s="7" t="str">
        <f t="shared" si="34"/>
        <v>0706</v>
      </c>
      <c r="H198" s="7" t="str">
        <f t="shared" si="35"/>
        <v>121</v>
      </c>
      <c r="I198" s="7" t="str">
        <f t="shared" si="36"/>
        <v>margo</v>
      </c>
      <c r="J198" s="6" t="str">
        <f>IFERROR(_xlfn.CONCAT(_xlfn.TEXTSPLIT(SUBSTITUTE(SUBSTITUTE(LOWER(Q198),"æ","ae"), " de ", " "),{"b. ","ss. ","s. ","ss.mi ","in ",".",","," et","sanctae ","ę","ũ"})), "")</f>
        <v>mariae goretti virginis martyris</v>
      </c>
      <c r="K198" s="6">
        <f t="shared" si="37"/>
        <v>7</v>
      </c>
      <c r="L198" s="6" t="str">
        <f t="shared" si="38"/>
        <v>gorettivirginismartyris</v>
      </c>
      <c r="M198" s="6"/>
      <c r="N198" s="1">
        <v>45844</v>
      </c>
      <c r="O198" s="3" t="s">
        <v>471</v>
      </c>
      <c r="P198" s="4" t="s">
        <v>9</v>
      </c>
      <c r="Q198" s="2" t="s">
        <v>189</v>
      </c>
      <c r="R198" s="9" t="s">
        <v>684</v>
      </c>
      <c r="S198" s="2" t="s">
        <v>308</v>
      </c>
    </row>
    <row r="199" spans="1:19" ht="14.4" customHeight="1" x14ac:dyDescent="0.3">
      <c r="A199" s="7" t="str">
        <f t="shared" si="30"/>
        <v/>
      </c>
      <c r="B199" s="7" t="str">
        <f t="shared" si="31"/>
        <v/>
      </c>
      <c r="C199" s="8" t="str">
        <f t="shared" si="32"/>
        <v/>
      </c>
      <c r="D199" s="8" t="str">
        <f t="shared" si="32"/>
        <v/>
      </c>
      <c r="E199" s="8" t="str">
        <f t="shared" si="33"/>
        <v/>
      </c>
      <c r="F199" s="7" t="s">
        <v>578</v>
      </c>
      <c r="G199" s="7" t="str">
        <f t="shared" si="34"/>
        <v>0707</v>
      </c>
      <c r="H199" s="7" t="str">
        <f t="shared" si="35"/>
        <v/>
      </c>
      <c r="I199" s="7" t="str">
        <f t="shared" si="36"/>
        <v/>
      </c>
      <c r="J199" s="6" t="str">
        <f>IFERROR(_xlfn.CONCAT(_xlfn.TEXTSPLIT(SUBSTITUTE(SUBSTITUTE(LOWER(Q199),"æ","ae"), " de ", " "),{"b. ","ss. ","s. ","ss.mi ","in ",".",","," et","sanctae ","ę","ũ"})), "")</f>
        <v/>
      </c>
      <c r="K199" s="6" t="str">
        <f t="shared" si="37"/>
        <v/>
      </c>
      <c r="L199" s="6" t="str">
        <f t="shared" si="38"/>
        <v/>
      </c>
      <c r="M199" s="6"/>
      <c r="N199" s="1">
        <v>45845</v>
      </c>
    </row>
    <row r="200" spans="1:19" ht="14.4" customHeight="1" x14ac:dyDescent="0.3">
      <c r="A200" s="7" t="str">
        <f t="shared" si="30"/>
        <v/>
      </c>
      <c r="B200" s="7" t="str">
        <f t="shared" si="31"/>
        <v/>
      </c>
      <c r="C200" s="8" t="str">
        <f t="shared" si="32"/>
        <v/>
      </c>
      <c r="D200" s="8" t="str">
        <f t="shared" si="32"/>
        <v/>
      </c>
      <c r="E200" s="8" t="str">
        <f t="shared" si="33"/>
        <v/>
      </c>
      <c r="F200" s="7" t="s">
        <v>578</v>
      </c>
      <c r="G200" s="7" t="str">
        <f t="shared" si="34"/>
        <v>0708</v>
      </c>
      <c r="H200" s="7" t="str">
        <f t="shared" si="35"/>
        <v/>
      </c>
      <c r="I200" s="7" t="str">
        <f t="shared" si="36"/>
        <v/>
      </c>
      <c r="J200" s="6" t="str">
        <f>IFERROR(_xlfn.CONCAT(_xlfn.TEXTSPLIT(SUBSTITUTE(SUBSTITUTE(LOWER(Q200),"æ","ae"), " de ", " "),{"b. ","ss. ","s. ","ss.mi ","in ",".",","," et","sanctae ","ę","ũ"})), "")</f>
        <v/>
      </c>
      <c r="K200" s="6" t="str">
        <f t="shared" si="37"/>
        <v/>
      </c>
      <c r="L200" s="6" t="str">
        <f t="shared" si="38"/>
        <v/>
      </c>
      <c r="M200" s="6"/>
      <c r="N200" s="1">
        <v>45846</v>
      </c>
    </row>
    <row r="201" spans="1:19" ht="14.4" customHeight="1" x14ac:dyDescent="0.3">
      <c r="A201" s="7" t="str">
        <f t="shared" si="30"/>
        <v>fix.0709.121.augzh</v>
      </c>
      <c r="B201" s="7" t="str">
        <f t="shared" si="31"/>
        <v>121</v>
      </c>
      <c r="C201" s="8" t="str">
        <f t="shared" si="32"/>
        <v>Ss. Augustini Zhao Rong, presbyteri, et sociorum, martyrum</v>
      </c>
      <c r="D201" s="8" t="str">
        <f t="shared" si="32"/>
        <v>St. Augustine Zhao Rong, Priest, and Companions, Martyrs</v>
      </c>
      <c r="E201" s="8" t="str">
        <f t="shared" si="33"/>
        <v>성 아우구스티노 자오룽 사제와 동료 순교자들</v>
      </c>
      <c r="F201" s="7" t="s">
        <v>578</v>
      </c>
      <c r="G201" s="7" t="str">
        <f t="shared" si="34"/>
        <v>0709</v>
      </c>
      <c r="H201" s="7" t="str">
        <f t="shared" si="35"/>
        <v>121</v>
      </c>
      <c r="I201" s="7" t="str">
        <f t="shared" si="36"/>
        <v>augzh</v>
      </c>
      <c r="J201" s="6" t="str">
        <f>IFERROR(_xlfn.CONCAT(_xlfn.TEXTSPLIT(SUBSTITUTE(SUBSTITUTE(LOWER(Q201),"æ","ae"), " de ", " "),{"b. ","ss. ","s. ","ss.mi ","in ",".",","," et","sanctae ","ę","ũ"})), "")</f>
        <v>augustini zhao rong presbyteri sociorum martyrum</v>
      </c>
      <c r="K201" s="6">
        <f t="shared" si="37"/>
        <v>10</v>
      </c>
      <c r="L201" s="6" t="str">
        <f t="shared" si="38"/>
        <v>zhaorongpresbyterisociorummartyrum</v>
      </c>
      <c r="M201" s="6"/>
      <c r="N201" s="1">
        <v>45847</v>
      </c>
      <c r="O201" s="3" t="s">
        <v>471</v>
      </c>
      <c r="P201" s="4" t="s">
        <v>9</v>
      </c>
      <c r="Q201" s="2" t="s">
        <v>190</v>
      </c>
      <c r="R201" s="9" t="s">
        <v>685</v>
      </c>
      <c r="S201" s="2" t="s">
        <v>309</v>
      </c>
    </row>
    <row r="202" spans="1:19" ht="14.4" customHeight="1" x14ac:dyDescent="0.3">
      <c r="A202" s="7" t="str">
        <f t="shared" si="30"/>
        <v/>
      </c>
      <c r="B202" s="7" t="str">
        <f t="shared" si="31"/>
        <v/>
      </c>
      <c r="C202" s="8" t="str">
        <f t="shared" si="32"/>
        <v/>
      </c>
      <c r="D202" s="8" t="str">
        <f t="shared" si="32"/>
        <v/>
      </c>
      <c r="E202" s="8" t="str">
        <f t="shared" si="33"/>
        <v/>
      </c>
      <c r="F202" s="7" t="s">
        <v>578</v>
      </c>
      <c r="G202" s="7" t="str">
        <f t="shared" si="34"/>
        <v>0710</v>
      </c>
      <c r="H202" s="7" t="str">
        <f t="shared" si="35"/>
        <v/>
      </c>
      <c r="I202" s="7" t="str">
        <f t="shared" si="36"/>
        <v/>
      </c>
      <c r="J202" s="6" t="str">
        <f>IFERROR(_xlfn.CONCAT(_xlfn.TEXTSPLIT(SUBSTITUTE(SUBSTITUTE(LOWER(Q202),"æ","ae"), " de ", " "),{"b. ","ss. ","s. ","ss.mi ","in ",".",","," et","sanctae ","ę","ũ"})), "")</f>
        <v/>
      </c>
      <c r="K202" s="6" t="str">
        <f t="shared" si="37"/>
        <v/>
      </c>
      <c r="L202" s="6" t="str">
        <f t="shared" si="38"/>
        <v/>
      </c>
      <c r="M202" s="6"/>
      <c r="N202" s="1">
        <v>45848</v>
      </c>
    </row>
    <row r="203" spans="1:19" ht="14.4" customHeight="1" x14ac:dyDescent="0.3">
      <c r="A203" s="7" t="str">
        <f t="shared" si="30"/>
        <v>fix.0711.101.benab</v>
      </c>
      <c r="B203" s="7" t="str">
        <f t="shared" si="31"/>
        <v>101</v>
      </c>
      <c r="C203" s="8" t="str">
        <f t="shared" si="32"/>
        <v>S. Benedicti, abbatis</v>
      </c>
      <c r="D203" s="8" t="str">
        <f t="shared" si="32"/>
        <v xml:space="preserve">St. Benedict, Abbot </v>
      </c>
      <c r="E203" s="8" t="str">
        <f t="shared" si="33"/>
        <v>성 베네딕토 아빠스 기념일</v>
      </c>
      <c r="F203" s="7" t="s">
        <v>578</v>
      </c>
      <c r="G203" s="7" t="str">
        <f t="shared" si="34"/>
        <v>0711</v>
      </c>
      <c r="H203" s="7" t="str">
        <f t="shared" si="35"/>
        <v>101</v>
      </c>
      <c r="I203" s="7" t="str">
        <f t="shared" si="36"/>
        <v>benab</v>
      </c>
      <c r="J203" s="6" t="str">
        <f>IFERROR(_xlfn.CONCAT(_xlfn.TEXTSPLIT(SUBSTITUTE(SUBSTITUTE(LOWER(Q203),"æ","ae"), " de ", " "),{"b. ","ss. ","s. ","ss.mi ","in ",".",","," et","sanctae ","ę","ũ"})), "")</f>
        <v>benedicti abbatis</v>
      </c>
      <c r="K203" s="6">
        <f t="shared" si="37"/>
        <v>10</v>
      </c>
      <c r="L203" s="6" t="str">
        <f t="shared" si="38"/>
        <v>abbatis</v>
      </c>
      <c r="M203" s="6"/>
      <c r="N203" s="1">
        <v>45849</v>
      </c>
      <c r="O203" s="3">
        <v>101</v>
      </c>
      <c r="P203" s="4" t="s">
        <v>8</v>
      </c>
      <c r="Q203" s="2" t="s">
        <v>191</v>
      </c>
      <c r="R203" s="9" t="s">
        <v>686</v>
      </c>
      <c r="S203" s="2" t="s">
        <v>310</v>
      </c>
    </row>
    <row r="204" spans="1:19" ht="14.4" customHeight="1" x14ac:dyDescent="0.3">
      <c r="A204" s="7" t="str">
        <f t="shared" si="30"/>
        <v/>
      </c>
      <c r="B204" s="7" t="str">
        <f t="shared" si="31"/>
        <v/>
      </c>
      <c r="C204" s="8" t="str">
        <f t="shared" si="32"/>
        <v/>
      </c>
      <c r="D204" s="8" t="str">
        <f t="shared" si="32"/>
        <v/>
      </c>
      <c r="E204" s="8" t="str">
        <f t="shared" si="33"/>
        <v/>
      </c>
      <c r="F204" s="7" t="s">
        <v>578</v>
      </c>
      <c r="G204" s="7" t="str">
        <f t="shared" si="34"/>
        <v>0712</v>
      </c>
      <c r="H204" s="7" t="str">
        <f t="shared" si="35"/>
        <v/>
      </c>
      <c r="I204" s="7" t="str">
        <f t="shared" si="36"/>
        <v/>
      </c>
      <c r="J204" s="6" t="str">
        <f>IFERROR(_xlfn.CONCAT(_xlfn.TEXTSPLIT(SUBSTITUTE(SUBSTITUTE(LOWER(Q204),"æ","ae"), " de ", " "),{"b. ","ss. ","s. ","ss.mi ","in ",".",","," et","sanctae ","ę","ũ"})), "")</f>
        <v/>
      </c>
      <c r="K204" s="6" t="str">
        <f t="shared" si="37"/>
        <v/>
      </c>
      <c r="L204" s="6" t="str">
        <f t="shared" si="38"/>
        <v/>
      </c>
      <c r="M204" s="6"/>
      <c r="N204" s="1">
        <v>45850</v>
      </c>
    </row>
    <row r="205" spans="1:19" ht="14.4" customHeight="1" x14ac:dyDescent="0.3">
      <c r="A205" s="7" t="str">
        <f t="shared" si="30"/>
        <v>fix.0713.121.henri</v>
      </c>
      <c r="B205" s="7" t="str">
        <f t="shared" si="31"/>
        <v>121</v>
      </c>
      <c r="C205" s="8" t="str">
        <f t="shared" si="32"/>
        <v>S. Henrici</v>
      </c>
      <c r="D205" s="8" t="str">
        <f t="shared" si="32"/>
        <v>St. Henry</v>
      </c>
      <c r="E205" s="8" t="str">
        <f t="shared" si="33"/>
        <v>성 헨리코</v>
      </c>
      <c r="F205" s="7" t="s">
        <v>578</v>
      </c>
      <c r="G205" s="7" t="str">
        <f t="shared" si="34"/>
        <v>0713</v>
      </c>
      <c r="H205" s="7" t="str">
        <f t="shared" si="35"/>
        <v>121</v>
      </c>
      <c r="I205" s="7" t="str">
        <f t="shared" si="36"/>
        <v>henri</v>
      </c>
      <c r="J205" s="6" t="str">
        <f>IFERROR(_xlfn.CONCAT(_xlfn.TEXTSPLIT(SUBSTITUTE(SUBSTITUTE(LOWER(Q205),"æ","ae"), " de ", " "),{"b. ","ss. ","s. ","ss.mi ","in ",".",","," et","sanctae ","ę","ũ"})), "")</f>
        <v>henrici</v>
      </c>
      <c r="K205" s="6" t="str">
        <f t="shared" si="37"/>
        <v/>
      </c>
      <c r="L205" s="6" t="str">
        <f t="shared" si="38"/>
        <v/>
      </c>
      <c r="M205" s="6"/>
      <c r="N205" s="1">
        <v>45851</v>
      </c>
      <c r="O205" s="3" t="s">
        <v>471</v>
      </c>
      <c r="P205" s="4" t="s">
        <v>9</v>
      </c>
      <c r="Q205" s="2" t="s">
        <v>192</v>
      </c>
      <c r="R205" s="9" t="s">
        <v>687</v>
      </c>
      <c r="S205" s="2" t="s">
        <v>311</v>
      </c>
    </row>
    <row r="206" spans="1:19" ht="14.4" customHeight="1" x14ac:dyDescent="0.3">
      <c r="A206" s="7" t="str">
        <f t="shared" si="30"/>
        <v>fix.0714.121.camle</v>
      </c>
      <c r="B206" s="7" t="str">
        <f t="shared" si="31"/>
        <v>121</v>
      </c>
      <c r="C206" s="8" t="str">
        <f t="shared" si="32"/>
        <v>S. Camilli de Lellis, presbyteri</v>
      </c>
      <c r="D206" s="8" t="str">
        <f t="shared" si="32"/>
        <v/>
      </c>
      <c r="E206" s="8" t="str">
        <f t="shared" si="33"/>
        <v>성 가밀로 데 렐리스 사제</v>
      </c>
      <c r="F206" s="7" t="s">
        <v>578</v>
      </c>
      <c r="G206" s="7" t="str">
        <f t="shared" si="34"/>
        <v>0714</v>
      </c>
      <c r="H206" s="7" t="str">
        <f t="shared" si="35"/>
        <v>121</v>
      </c>
      <c r="I206" s="7" t="str">
        <f t="shared" si="36"/>
        <v>camle</v>
      </c>
      <c r="J206" s="6" t="str">
        <f>IFERROR(_xlfn.CONCAT(_xlfn.TEXTSPLIT(SUBSTITUTE(SUBSTITUTE(LOWER(Q206),"æ","ae"), " de ", " "),{"b. ","ss. ","s. ","ss.mi ","in ",".",","," et","sanctae ","ę","ũ"})), "")</f>
        <v>camilli lellis presbyteri</v>
      </c>
      <c r="K206" s="6">
        <f t="shared" si="37"/>
        <v>8</v>
      </c>
      <c r="L206" s="6" t="str">
        <f t="shared" si="38"/>
        <v>lellispresbyteri</v>
      </c>
      <c r="M206" s="6"/>
      <c r="N206" s="1">
        <v>45852</v>
      </c>
      <c r="O206" s="3" t="s">
        <v>471</v>
      </c>
      <c r="P206" s="4" t="s">
        <v>9</v>
      </c>
      <c r="Q206" s="2" t="s">
        <v>193</v>
      </c>
      <c r="S206" s="2" t="s">
        <v>312</v>
      </c>
    </row>
    <row r="207" spans="1:19" ht="14.4" customHeight="1" x14ac:dyDescent="0.3">
      <c r="A207" s="7" t="str">
        <f t="shared" si="30"/>
        <v>fix.0715.101.bonep</v>
      </c>
      <c r="B207" s="7" t="str">
        <f t="shared" si="31"/>
        <v>101</v>
      </c>
      <c r="C207" s="8" t="str">
        <f t="shared" si="32"/>
        <v>S. Bonaventuræ, episcopi et Ecclesiæ doctoris</v>
      </c>
      <c r="D207" s="8" t="str">
        <f t="shared" si="32"/>
        <v xml:space="preserve">St. Bonaventure, Bishop and Doctor of the Church </v>
      </c>
      <c r="E207" s="8" t="str">
        <f t="shared" si="33"/>
        <v>성 보나벤투라 주교 학자 기념일</v>
      </c>
      <c r="F207" s="7" t="s">
        <v>578</v>
      </c>
      <c r="G207" s="7" t="str">
        <f t="shared" si="34"/>
        <v>0715</v>
      </c>
      <c r="H207" s="7" t="str">
        <f t="shared" si="35"/>
        <v>101</v>
      </c>
      <c r="I207" s="7" t="str">
        <f t="shared" si="36"/>
        <v>bonep</v>
      </c>
      <c r="J207" s="6" t="str">
        <f>IFERROR(_xlfn.CONCAT(_xlfn.TEXTSPLIT(SUBSTITUTE(SUBSTITUTE(LOWER(Q207),"æ","ae"), " de ", " "),{"b. ","ss. ","s. ","ss.mi ","in ",".",","," et","sanctae ","ę","ũ"})), "")</f>
        <v>bonaventurae episcopi ecclesiae doctoris</v>
      </c>
      <c r="K207" s="6">
        <f t="shared" si="37"/>
        <v>13</v>
      </c>
      <c r="L207" s="6" t="str">
        <f t="shared" si="38"/>
        <v>episcopiecclesiaedoctoris</v>
      </c>
      <c r="M207" s="6"/>
      <c r="N207" s="1">
        <v>45853</v>
      </c>
      <c r="O207" s="3">
        <v>101</v>
      </c>
      <c r="P207" s="4" t="s">
        <v>8</v>
      </c>
      <c r="Q207" s="2" t="s">
        <v>194</v>
      </c>
      <c r="R207" s="9" t="s">
        <v>688</v>
      </c>
      <c r="S207" s="2" t="s">
        <v>313</v>
      </c>
    </row>
    <row r="208" spans="1:19" ht="14.4" customHeight="1" x14ac:dyDescent="0.3">
      <c r="A208" s="7" t="str">
        <f t="shared" si="30"/>
        <v>fix.0716.121.marvi</v>
      </c>
      <c r="B208" s="7" t="str">
        <f t="shared" si="31"/>
        <v>121</v>
      </c>
      <c r="C208" s="8" t="str">
        <f t="shared" si="32"/>
        <v>B. Mariæ Virginis de Monte Carmelo</v>
      </c>
      <c r="D208" s="8" t="str">
        <f t="shared" si="32"/>
        <v>Our Lady of Mount Carmel</v>
      </c>
      <c r="E208" s="8" t="str">
        <f t="shared" si="33"/>
        <v>카르멜 산의 복되신 동정 마리아</v>
      </c>
      <c r="F208" s="7" t="s">
        <v>578</v>
      </c>
      <c r="G208" s="7" t="str">
        <f t="shared" si="34"/>
        <v>0716</v>
      </c>
      <c r="H208" s="7" t="str">
        <f t="shared" si="35"/>
        <v>121</v>
      </c>
      <c r="I208" s="7" t="str">
        <f t="shared" si="36"/>
        <v>marvi</v>
      </c>
      <c r="J208" s="6" t="str">
        <f>IFERROR(_xlfn.CONCAT(_xlfn.TEXTSPLIT(SUBSTITUTE(SUBSTITUTE(LOWER(Q208),"æ","ae"), " de ", " "),{"b. ","ss. ","s. ","ss.mi ","in ",".",","," et","sanctae ","ę","ũ"})), "")</f>
        <v>mariae virginis monte carmelo</v>
      </c>
      <c r="K208" s="6">
        <f t="shared" si="37"/>
        <v>7</v>
      </c>
      <c r="L208" s="6" t="str">
        <f t="shared" si="38"/>
        <v>virginismontecarmelo</v>
      </c>
      <c r="M208" s="6"/>
      <c r="N208" s="1">
        <v>45854</v>
      </c>
      <c r="O208" s="3" t="s">
        <v>471</v>
      </c>
      <c r="P208" s="4" t="s">
        <v>9</v>
      </c>
      <c r="Q208" s="2" t="s">
        <v>195</v>
      </c>
      <c r="R208" s="9" t="s">
        <v>689</v>
      </c>
      <c r="S208" s="2" t="s">
        <v>314</v>
      </c>
    </row>
    <row r="209" spans="1:20" ht="14.4" customHeight="1" x14ac:dyDescent="0.3">
      <c r="A209" s="7" t="str">
        <f t="shared" si="30"/>
        <v/>
      </c>
      <c r="B209" s="7" t="str">
        <f t="shared" si="31"/>
        <v/>
      </c>
      <c r="C209" s="8" t="str">
        <f t="shared" si="32"/>
        <v/>
      </c>
      <c r="D209" s="8" t="str">
        <f t="shared" si="32"/>
        <v/>
      </c>
      <c r="E209" s="8" t="str">
        <f t="shared" si="33"/>
        <v/>
      </c>
      <c r="F209" s="7" t="s">
        <v>578</v>
      </c>
      <c r="G209" s="7" t="str">
        <f t="shared" si="34"/>
        <v>0717</v>
      </c>
      <c r="H209" s="7" t="str">
        <f t="shared" si="35"/>
        <v/>
      </c>
      <c r="I209" s="7" t="str">
        <f t="shared" si="36"/>
        <v/>
      </c>
      <c r="J209" s="6" t="str">
        <f>IFERROR(_xlfn.CONCAT(_xlfn.TEXTSPLIT(SUBSTITUTE(SUBSTITUTE(LOWER(Q209),"æ","ae"), " de ", " "),{"b. ","ss. ","s. ","ss.mi ","in ",".",","," et","sanctae ","ę","ũ"})), "")</f>
        <v/>
      </c>
      <c r="K209" s="6" t="str">
        <f t="shared" si="37"/>
        <v/>
      </c>
      <c r="L209" s="6" t="str">
        <f t="shared" si="38"/>
        <v/>
      </c>
      <c r="M209" s="6"/>
      <c r="N209" s="1">
        <v>45855</v>
      </c>
    </row>
    <row r="210" spans="1:20" ht="14.4" customHeight="1" x14ac:dyDescent="0.3">
      <c r="A210" s="7" t="str">
        <f t="shared" si="30"/>
        <v/>
      </c>
      <c r="B210" s="7" t="str">
        <f t="shared" si="31"/>
        <v/>
      </c>
      <c r="C210" s="8" t="str">
        <f t="shared" si="32"/>
        <v/>
      </c>
      <c r="D210" s="8" t="str">
        <f t="shared" si="32"/>
        <v/>
      </c>
      <c r="E210" s="8" t="str">
        <f t="shared" si="33"/>
        <v/>
      </c>
      <c r="F210" s="7" t="s">
        <v>578</v>
      </c>
      <c r="G210" s="7" t="str">
        <f t="shared" si="34"/>
        <v>0718</v>
      </c>
      <c r="H210" s="7" t="str">
        <f t="shared" si="35"/>
        <v/>
      </c>
      <c r="I210" s="7" t="str">
        <f t="shared" si="36"/>
        <v/>
      </c>
      <c r="J210" s="6" t="str">
        <f>IFERROR(_xlfn.CONCAT(_xlfn.TEXTSPLIT(SUBSTITUTE(SUBSTITUTE(LOWER(Q210),"æ","ae"), " de ", " "),{"b. ","ss. ","s. ","ss.mi ","in ",".",","," et","sanctae ","ę","ũ"})), "")</f>
        <v/>
      </c>
      <c r="K210" s="6" t="str">
        <f t="shared" si="37"/>
        <v/>
      </c>
      <c r="L210" s="6" t="str">
        <f t="shared" si="38"/>
        <v/>
      </c>
      <c r="M210" s="6"/>
      <c r="N210" s="1">
        <v>45856</v>
      </c>
    </row>
    <row r="211" spans="1:20" ht="14.4" customHeight="1" x14ac:dyDescent="0.3">
      <c r="A211" s="7" t="str">
        <f t="shared" si="30"/>
        <v/>
      </c>
      <c r="B211" s="7" t="str">
        <f t="shared" si="31"/>
        <v/>
      </c>
      <c r="C211" s="8" t="str">
        <f t="shared" si="32"/>
        <v/>
      </c>
      <c r="D211" s="8" t="str">
        <f t="shared" si="32"/>
        <v/>
      </c>
      <c r="E211" s="8" t="str">
        <f t="shared" si="33"/>
        <v/>
      </c>
      <c r="F211" s="7" t="s">
        <v>578</v>
      </c>
      <c r="G211" s="7" t="str">
        <f t="shared" si="34"/>
        <v>0719</v>
      </c>
      <c r="H211" s="7" t="str">
        <f t="shared" si="35"/>
        <v/>
      </c>
      <c r="I211" s="7" t="str">
        <f t="shared" si="36"/>
        <v/>
      </c>
      <c r="J211" s="6" t="str">
        <f>IFERROR(_xlfn.CONCAT(_xlfn.TEXTSPLIT(SUBSTITUTE(SUBSTITUTE(LOWER(Q211),"æ","ae"), " de ", " "),{"b. ","ss. ","s. ","ss.mi ","in ",".",","," et","sanctae ","ę","ũ"})), "")</f>
        <v/>
      </c>
      <c r="K211" s="6" t="str">
        <f t="shared" si="37"/>
        <v/>
      </c>
      <c r="L211" s="6" t="str">
        <f t="shared" si="38"/>
        <v/>
      </c>
      <c r="M211" s="6"/>
      <c r="N211" s="1">
        <v>45857</v>
      </c>
    </row>
    <row r="212" spans="1:20" ht="14.4" customHeight="1" x14ac:dyDescent="0.3">
      <c r="A212" s="7" t="str">
        <f t="shared" si="30"/>
        <v>fix.0720.121.apoep</v>
      </c>
      <c r="B212" s="7" t="str">
        <f t="shared" si="31"/>
        <v>121</v>
      </c>
      <c r="C212" s="8" t="str">
        <f t="shared" si="32"/>
        <v>S. Apollinaris, episcopi et martyris</v>
      </c>
      <c r="D212" s="8" t="str">
        <f t="shared" si="32"/>
        <v>St. Apollinaris, Bishop and Martyr</v>
      </c>
      <c r="E212" s="8" t="str">
        <f t="shared" si="33"/>
        <v>성 아폴리나리스 주교 순교자</v>
      </c>
      <c r="F212" s="7" t="s">
        <v>578</v>
      </c>
      <c r="G212" s="7" t="str">
        <f t="shared" si="34"/>
        <v>0720</v>
      </c>
      <c r="H212" s="7" t="str">
        <f t="shared" si="35"/>
        <v>121</v>
      </c>
      <c r="I212" s="7" t="str">
        <f t="shared" si="36"/>
        <v>apoep</v>
      </c>
      <c r="J212" s="6" t="str">
        <f>IFERROR(_xlfn.CONCAT(_xlfn.TEXTSPLIT(SUBSTITUTE(SUBSTITUTE(LOWER(Q212),"æ","ae"), " de ", " "),{"b. ","ss. ","s. ","ss.mi ","in ",".",","," et","sanctae ","ę","ũ"})), "")</f>
        <v>apollinaris episcopi martyris</v>
      </c>
      <c r="K212" s="6">
        <f t="shared" si="37"/>
        <v>12</v>
      </c>
      <c r="L212" s="6" t="str">
        <f t="shared" si="38"/>
        <v>episcopimartyris</v>
      </c>
      <c r="M212" s="6"/>
      <c r="N212" s="1">
        <v>45858</v>
      </c>
      <c r="O212" s="3" t="s">
        <v>471</v>
      </c>
      <c r="P212" s="4" t="s">
        <v>9</v>
      </c>
      <c r="Q212" s="2" t="s">
        <v>196</v>
      </c>
      <c r="R212" s="9" t="s">
        <v>690</v>
      </c>
      <c r="S212" s="2" t="s">
        <v>315</v>
      </c>
    </row>
    <row r="213" spans="1:20" ht="14.4" customHeight="1" x14ac:dyDescent="0.3">
      <c r="A213" s="7" t="str">
        <f t="shared" si="30"/>
        <v>fix.0721.121.laubr</v>
      </c>
      <c r="B213" s="7" t="str">
        <f t="shared" si="31"/>
        <v>121</v>
      </c>
      <c r="C213" s="8" t="str">
        <f t="shared" si="32"/>
        <v>S. Laurentii de Brindisi, presbyteri et Ecclesiæ doctoris</v>
      </c>
      <c r="D213" s="8" t="str">
        <f t="shared" si="32"/>
        <v>St. Lawrence of Brindisi, Priest and Doctor of the Church</v>
      </c>
      <c r="E213" s="8" t="str">
        <f t="shared" si="33"/>
        <v>브린디시의 성 라우렌시오 사제 학자</v>
      </c>
      <c r="F213" s="7" t="s">
        <v>578</v>
      </c>
      <c r="G213" s="7" t="str">
        <f t="shared" si="34"/>
        <v>0721</v>
      </c>
      <c r="H213" s="7" t="str">
        <f t="shared" si="35"/>
        <v>121</v>
      </c>
      <c r="I213" s="7" t="str">
        <f t="shared" si="36"/>
        <v>laubr</v>
      </c>
      <c r="J213" s="6" t="str">
        <f>IFERROR(_xlfn.CONCAT(_xlfn.TEXTSPLIT(SUBSTITUTE(SUBSTITUTE(LOWER(Q213),"æ","ae"), " de ", " "),{"b. ","ss. ","s. ","ss.mi ","in ",".",","," et","sanctae ","ę","ũ"})), "")</f>
        <v>laurentii brindisi presbyteri ecclesiae doctoris</v>
      </c>
      <c r="K213" s="6">
        <f t="shared" si="37"/>
        <v>10</v>
      </c>
      <c r="L213" s="6" t="str">
        <f t="shared" si="38"/>
        <v>brindisipresbyteriecclesiaedoctoris</v>
      </c>
      <c r="M213" s="6"/>
      <c r="N213" s="1">
        <v>45859</v>
      </c>
      <c r="O213" s="3" t="s">
        <v>471</v>
      </c>
      <c r="P213" s="4" t="s">
        <v>9</v>
      </c>
      <c r="Q213" s="2" t="s">
        <v>197</v>
      </c>
      <c r="R213" s="9" t="s">
        <v>691</v>
      </c>
      <c r="S213" s="2" t="s">
        <v>316</v>
      </c>
    </row>
    <row r="214" spans="1:20" ht="14.4" customHeight="1" x14ac:dyDescent="0.3">
      <c r="A214" s="7" t="str">
        <f t="shared" si="30"/>
        <v>fix.0722.071.marma</v>
      </c>
      <c r="B214" s="7" t="str">
        <f t="shared" si="31"/>
        <v>071</v>
      </c>
      <c r="C214" s="8" t="str">
        <f t="shared" si="32"/>
        <v>S. Mariæ Magdalenæ</v>
      </c>
      <c r="D214" s="8" t="str">
        <f t="shared" si="32"/>
        <v xml:space="preserve">St. Mary Magdalene </v>
      </c>
      <c r="E214" s="8" t="str">
        <f t="shared" si="33"/>
        <v>성녀 마리아 막달레나 축일</v>
      </c>
      <c r="F214" s="7" t="s">
        <v>578</v>
      </c>
      <c r="G214" s="7" t="str">
        <f t="shared" si="34"/>
        <v>0722</v>
      </c>
      <c r="H214" s="7" t="str">
        <f t="shared" si="35"/>
        <v>071</v>
      </c>
      <c r="I214" s="7" t="str">
        <f t="shared" si="36"/>
        <v>marma</v>
      </c>
      <c r="J214" s="6" t="str">
        <f>IFERROR(_xlfn.CONCAT(_xlfn.TEXTSPLIT(SUBSTITUTE(SUBSTITUTE(LOWER(Q214),"æ","ae"), " de ", " "),{"b. ","ss. ","s. ","ss.mi ","in ",".",","," et","sanctae ","ę","ũ"})), "")</f>
        <v>mariae magdalenae</v>
      </c>
      <c r="K214" s="6">
        <f t="shared" si="37"/>
        <v>7</v>
      </c>
      <c r="L214" s="6" t="str">
        <f t="shared" si="38"/>
        <v>magdalenae</v>
      </c>
      <c r="M214" s="6"/>
      <c r="N214" s="1">
        <v>45860</v>
      </c>
      <c r="O214" s="3" t="s">
        <v>463</v>
      </c>
      <c r="P214" s="4" t="s">
        <v>20</v>
      </c>
      <c r="Q214" s="2" t="s">
        <v>198</v>
      </c>
      <c r="R214" s="9" t="s">
        <v>692</v>
      </c>
      <c r="S214" s="2" t="s">
        <v>317</v>
      </c>
      <c r="T214" t="s">
        <v>441</v>
      </c>
    </row>
    <row r="215" spans="1:20" ht="14.4" customHeight="1" x14ac:dyDescent="0.3">
      <c r="A215" s="7" t="str">
        <f t="shared" si="30"/>
        <v>fix.0723.121.birre</v>
      </c>
      <c r="B215" s="7" t="str">
        <f t="shared" si="31"/>
        <v>121</v>
      </c>
      <c r="C215" s="8" t="str">
        <f t="shared" si="32"/>
        <v>S. Birgittæ, religiosæ</v>
      </c>
      <c r="D215" s="8" t="str">
        <f t="shared" si="32"/>
        <v>St. Bridget, Religious</v>
      </c>
      <c r="E215" s="8" t="str">
        <f t="shared" si="33"/>
        <v>성녀 비르지타 수도자</v>
      </c>
      <c r="F215" s="7" t="s">
        <v>578</v>
      </c>
      <c r="G215" s="7" t="str">
        <f t="shared" si="34"/>
        <v>0723</v>
      </c>
      <c r="H215" s="7" t="str">
        <f t="shared" si="35"/>
        <v>121</v>
      </c>
      <c r="I215" s="7" t="str">
        <f t="shared" si="36"/>
        <v>birre</v>
      </c>
      <c r="J215" s="6" t="str">
        <f>IFERROR(_xlfn.CONCAT(_xlfn.TEXTSPLIT(SUBSTITUTE(SUBSTITUTE(LOWER(Q215),"æ","ae"), " de ", " "),{"b. ","ss. ","s. ","ss.mi ","in ",".",","," et","sanctae ","ę","ũ"})), "")</f>
        <v>birgittae religiosae</v>
      </c>
      <c r="K215" s="6">
        <f t="shared" si="37"/>
        <v>10</v>
      </c>
      <c r="L215" s="6" t="str">
        <f t="shared" si="38"/>
        <v>religiosae</v>
      </c>
      <c r="M215" s="6"/>
      <c r="N215" s="1">
        <v>45861</v>
      </c>
      <c r="O215" s="3" t="s">
        <v>471</v>
      </c>
      <c r="P215" s="4" t="s">
        <v>9</v>
      </c>
      <c r="Q215" s="2" t="s">
        <v>199</v>
      </c>
      <c r="R215" s="9" t="s">
        <v>693</v>
      </c>
      <c r="S215" s="2" t="s">
        <v>318</v>
      </c>
    </row>
    <row r="216" spans="1:20" ht="14.4" customHeight="1" x14ac:dyDescent="0.3">
      <c r="A216" s="7" t="str">
        <f t="shared" si="30"/>
        <v>fix.0724.121.sarma</v>
      </c>
      <c r="B216" s="7" t="str">
        <f t="shared" si="31"/>
        <v>121</v>
      </c>
      <c r="C216" s="8" t="str">
        <f t="shared" si="32"/>
        <v>S. Sarbelii Makhluof, presbyteri</v>
      </c>
      <c r="D216" s="8" t="str">
        <f t="shared" si="32"/>
        <v>St. Sharbel Makhluf, Priest</v>
      </c>
      <c r="E216" s="8" t="str">
        <f t="shared" si="33"/>
        <v>성 사르벨리오 마클루프 사제</v>
      </c>
      <c r="F216" s="7" t="s">
        <v>578</v>
      </c>
      <c r="G216" s="7" t="str">
        <f t="shared" si="34"/>
        <v>0724</v>
      </c>
      <c r="H216" s="7" t="str">
        <f t="shared" si="35"/>
        <v>121</v>
      </c>
      <c r="I216" s="7" t="str">
        <f t="shared" si="36"/>
        <v>sarma</v>
      </c>
      <c r="J216" s="6" t="str">
        <f>IFERROR(_xlfn.CONCAT(_xlfn.TEXTSPLIT(SUBSTITUTE(SUBSTITUTE(LOWER(Q216),"æ","ae"), " de ", " "),{"b. ","ss. ","s. ","ss.mi ","in ",".",","," et","sanctae ","ę","ũ"})), "")</f>
        <v>sarbelii makhluof presbyteri</v>
      </c>
      <c r="K216" s="6">
        <f t="shared" si="37"/>
        <v>9</v>
      </c>
      <c r="L216" s="6" t="str">
        <f t="shared" si="38"/>
        <v>makhluofpresbyteri</v>
      </c>
      <c r="M216" s="6"/>
      <c r="N216" s="1">
        <v>45862</v>
      </c>
      <c r="O216" s="3" t="s">
        <v>471</v>
      </c>
      <c r="P216" s="4" t="s">
        <v>9</v>
      </c>
      <c r="Q216" s="2" t="s">
        <v>200</v>
      </c>
      <c r="R216" s="9" t="s">
        <v>694</v>
      </c>
      <c r="S216" s="2" t="s">
        <v>319</v>
      </c>
    </row>
    <row r="217" spans="1:20" ht="14.4" customHeight="1" x14ac:dyDescent="0.3">
      <c r="A217" s="7" t="str">
        <f t="shared" si="30"/>
        <v>fix.0725.071.iacap</v>
      </c>
      <c r="B217" s="7" t="str">
        <f t="shared" si="31"/>
        <v>071</v>
      </c>
      <c r="C217" s="8" t="str">
        <f t="shared" si="32"/>
        <v>S. Iacobi, apostoli</v>
      </c>
      <c r="D217" s="8" t="str">
        <f t="shared" si="32"/>
        <v xml:space="preserve">St. James, Apostle </v>
      </c>
      <c r="E217" s="8" t="str">
        <f t="shared" si="33"/>
        <v>성 야고보 사도 축일</v>
      </c>
      <c r="F217" s="7" t="s">
        <v>578</v>
      </c>
      <c r="G217" s="7" t="str">
        <f t="shared" si="34"/>
        <v>0725</v>
      </c>
      <c r="H217" s="7" t="str">
        <f t="shared" si="35"/>
        <v>071</v>
      </c>
      <c r="I217" s="7" t="str">
        <f t="shared" si="36"/>
        <v>iacap</v>
      </c>
      <c r="J217" s="6" t="str">
        <f>IFERROR(_xlfn.CONCAT(_xlfn.TEXTSPLIT(SUBSTITUTE(SUBSTITUTE(LOWER(Q217),"æ","ae"), " de ", " "),{"b. ","ss. ","s. ","ss.mi ","in ",".",","," et","sanctae ","ę","ũ"})), "")</f>
        <v>iacobi apostoli</v>
      </c>
      <c r="K217" s="6">
        <f t="shared" si="37"/>
        <v>7</v>
      </c>
      <c r="L217" s="6" t="str">
        <f t="shared" si="38"/>
        <v>apostoli</v>
      </c>
      <c r="M217" s="6"/>
      <c r="N217" s="1">
        <v>45863</v>
      </c>
      <c r="O217" s="3" t="s">
        <v>463</v>
      </c>
      <c r="P217" s="4" t="s">
        <v>20</v>
      </c>
      <c r="Q217" s="2" t="s">
        <v>201</v>
      </c>
      <c r="R217" s="9" t="s">
        <v>695</v>
      </c>
      <c r="S217" s="2" t="s">
        <v>320</v>
      </c>
    </row>
    <row r="218" spans="1:20" ht="14.4" customHeight="1" x14ac:dyDescent="0.3">
      <c r="A218" s="7" t="str">
        <f t="shared" si="30"/>
        <v>fix.0726.101.ioaan</v>
      </c>
      <c r="B218" s="7" t="str">
        <f t="shared" si="31"/>
        <v>101</v>
      </c>
      <c r="C218" s="8" t="str">
        <f t="shared" si="32"/>
        <v>Ss. Ioachim et Annæ, parentum B.M.V.</v>
      </c>
      <c r="D218" s="8" t="str">
        <f t="shared" si="32"/>
        <v xml:space="preserve">Sts. Joachim and Anne, Parents of the Blessed Virgin Mary </v>
      </c>
      <c r="E218" s="8" t="str">
        <f t="shared" si="33"/>
        <v>복되신 동정 마리아의 부모 성 요아킴과 성녀 안나 기념일</v>
      </c>
      <c r="F218" s="7" t="s">
        <v>578</v>
      </c>
      <c r="G218" s="7" t="str">
        <f t="shared" si="34"/>
        <v>0726</v>
      </c>
      <c r="H218" s="7" t="str">
        <f t="shared" si="35"/>
        <v>101</v>
      </c>
      <c r="I218" s="7" t="str">
        <f t="shared" si="36"/>
        <v>ioaan</v>
      </c>
      <c r="J218" s="6" t="str">
        <f>IFERROR(_xlfn.CONCAT(_xlfn.TEXTSPLIT(SUBSTITUTE(SUBSTITUTE(LOWER(Q218),"æ","ae"), " de ", " "),{"b. ","ss. ","s. ","ss.mi ","in ",".",","," et","sanctae ","ę","ũ"})), "")</f>
        <v>ioachim annae parentum bmv</v>
      </c>
      <c r="K218" s="6">
        <f t="shared" si="37"/>
        <v>8</v>
      </c>
      <c r="L218" s="6" t="str">
        <f t="shared" si="38"/>
        <v>annaeparentumbmv</v>
      </c>
      <c r="M218" s="6"/>
      <c r="N218" s="1">
        <v>45864</v>
      </c>
      <c r="O218" s="3">
        <v>101</v>
      </c>
      <c r="P218" s="4" t="s">
        <v>8</v>
      </c>
      <c r="Q218" s="2" t="s">
        <v>202</v>
      </c>
      <c r="R218" s="9" t="s">
        <v>696</v>
      </c>
      <c r="S218" s="2" t="s">
        <v>321</v>
      </c>
    </row>
    <row r="219" spans="1:20" ht="14.4" customHeight="1" x14ac:dyDescent="0.3">
      <c r="A219" s="7" t="str">
        <f t="shared" si="30"/>
        <v/>
      </c>
      <c r="B219" s="7" t="str">
        <f t="shared" si="31"/>
        <v/>
      </c>
      <c r="C219" s="8" t="str">
        <f t="shared" si="32"/>
        <v/>
      </c>
      <c r="D219" s="8" t="str">
        <f t="shared" si="32"/>
        <v/>
      </c>
      <c r="E219" s="8" t="str">
        <f t="shared" si="33"/>
        <v/>
      </c>
      <c r="F219" s="7" t="s">
        <v>578</v>
      </c>
      <c r="G219" s="7" t="str">
        <f t="shared" si="34"/>
        <v>0727</v>
      </c>
      <c r="H219" s="7" t="str">
        <f t="shared" si="35"/>
        <v/>
      </c>
      <c r="I219" s="7" t="str">
        <f t="shared" si="36"/>
        <v/>
      </c>
      <c r="J219" s="6" t="str">
        <f>IFERROR(_xlfn.CONCAT(_xlfn.TEXTSPLIT(SUBSTITUTE(SUBSTITUTE(LOWER(Q219),"æ","ae"), " de ", " "),{"b. ","ss. ","s. ","ss.mi ","in ",".",","," et","sanctae ","ę","ũ"})), "")</f>
        <v/>
      </c>
      <c r="K219" s="6" t="str">
        <f t="shared" si="37"/>
        <v/>
      </c>
      <c r="L219" s="6" t="str">
        <f t="shared" si="38"/>
        <v/>
      </c>
      <c r="M219" s="6"/>
      <c r="N219" s="1">
        <v>45865</v>
      </c>
    </row>
    <row r="220" spans="1:20" ht="14.4" customHeight="1" x14ac:dyDescent="0.3">
      <c r="A220" s="7" t="str">
        <f t="shared" si="30"/>
        <v/>
      </c>
      <c r="B220" s="7" t="str">
        <f t="shared" si="31"/>
        <v/>
      </c>
      <c r="C220" s="8" t="str">
        <f t="shared" si="32"/>
        <v/>
      </c>
      <c r="D220" s="8" t="str">
        <f t="shared" si="32"/>
        <v/>
      </c>
      <c r="E220" s="8" t="str">
        <f t="shared" si="33"/>
        <v/>
      </c>
      <c r="F220" s="7" t="s">
        <v>578</v>
      </c>
      <c r="G220" s="7" t="str">
        <f t="shared" si="34"/>
        <v>0728</v>
      </c>
      <c r="H220" s="7" t="str">
        <f t="shared" si="35"/>
        <v/>
      </c>
      <c r="I220" s="7" t="str">
        <f t="shared" si="36"/>
        <v/>
      </c>
      <c r="J220" s="6" t="str">
        <f>IFERROR(_xlfn.CONCAT(_xlfn.TEXTSPLIT(SUBSTITUTE(SUBSTITUTE(LOWER(Q220),"æ","ae"), " de ", " "),{"b. ","ss. ","s. ","ss.mi ","in ",".",","," et","sanctae ","ę","ũ"})), "")</f>
        <v/>
      </c>
      <c r="K220" s="6" t="str">
        <f t="shared" si="37"/>
        <v/>
      </c>
      <c r="L220" s="6" t="str">
        <f t="shared" si="38"/>
        <v/>
      </c>
      <c r="M220" s="6"/>
      <c r="N220" s="1">
        <v>45866</v>
      </c>
    </row>
    <row r="221" spans="1:20" ht="14.4" customHeight="1" x14ac:dyDescent="0.3">
      <c r="A221" s="7" t="str">
        <f t="shared" si="30"/>
        <v>fix.0729.101.marma</v>
      </c>
      <c r="B221" s="7" t="str">
        <f t="shared" si="31"/>
        <v>101</v>
      </c>
      <c r="C221" s="8" t="str">
        <f t="shared" si="32"/>
        <v>Ss. Marthæ, Mariæ et Lazari</v>
      </c>
      <c r="D221" s="8" t="str">
        <f t="shared" si="32"/>
        <v xml:space="preserve">Sts. Martha, Mary and Lazarus </v>
      </c>
      <c r="E221" s="8" t="str">
        <f t="shared" si="33"/>
        <v>성녀 마르타와 성녀 마리아와 성 라자로 기념일</v>
      </c>
      <c r="F221" s="7" t="s">
        <v>578</v>
      </c>
      <c r="G221" s="7" t="str">
        <f t="shared" si="34"/>
        <v>0729</v>
      </c>
      <c r="H221" s="7" t="str">
        <f t="shared" si="35"/>
        <v>101</v>
      </c>
      <c r="I221" s="7" t="str">
        <f t="shared" si="36"/>
        <v>marma</v>
      </c>
      <c r="J221" s="6" t="str">
        <f>IFERROR(_xlfn.CONCAT(_xlfn.TEXTSPLIT(SUBSTITUTE(SUBSTITUTE(LOWER(Q221),"æ","ae"), " de ", " "),{"b. ","ss. ","s. ","ss.mi ","in ",".",","," et","sanctae ","ę","ũ"})), "")</f>
        <v>marthae mariae lazari</v>
      </c>
      <c r="K221" s="6">
        <f t="shared" si="37"/>
        <v>8</v>
      </c>
      <c r="L221" s="6" t="str">
        <f t="shared" si="38"/>
        <v>mariaelazari</v>
      </c>
      <c r="M221" s="6"/>
      <c r="N221" s="1">
        <v>45867</v>
      </c>
      <c r="O221" s="3">
        <v>101</v>
      </c>
      <c r="P221" s="4" t="s">
        <v>8</v>
      </c>
      <c r="Q221" s="2" t="s">
        <v>442</v>
      </c>
      <c r="R221" s="9" t="s">
        <v>1151</v>
      </c>
      <c r="S221" s="2" t="s">
        <v>443</v>
      </c>
      <c r="T221" t="s">
        <v>444</v>
      </c>
    </row>
    <row r="222" spans="1:20" ht="14.4" customHeight="1" x14ac:dyDescent="0.3">
      <c r="A222" s="7" t="str">
        <f t="shared" si="30"/>
        <v>fix.0730.121.petch</v>
      </c>
      <c r="B222" s="7" t="str">
        <f t="shared" si="31"/>
        <v>121</v>
      </c>
      <c r="C222" s="8" t="str">
        <f t="shared" si="32"/>
        <v>S. Petri Chrysologi, episcopi et Ecclesiæ doctoris</v>
      </c>
      <c r="D222" s="8" t="str">
        <f t="shared" si="32"/>
        <v>St. Peter Chrysologus, Bishop and Doctor of the Church</v>
      </c>
      <c r="E222" s="8" t="str">
        <f t="shared" si="33"/>
        <v>성 베드로 크리솔로고 주교 학자</v>
      </c>
      <c r="F222" s="7" t="s">
        <v>578</v>
      </c>
      <c r="G222" s="7" t="str">
        <f t="shared" si="34"/>
        <v>0730</v>
      </c>
      <c r="H222" s="7" t="str">
        <f t="shared" si="35"/>
        <v>121</v>
      </c>
      <c r="I222" s="7" t="str">
        <f t="shared" si="36"/>
        <v>petch</v>
      </c>
      <c r="J222" s="6" t="str">
        <f>IFERROR(_xlfn.CONCAT(_xlfn.TEXTSPLIT(SUBSTITUTE(SUBSTITUTE(LOWER(Q222),"æ","ae"), " de ", " "),{"b. ","ss. ","s. ","ss.mi ","in ",".",","," et","sanctae ","ę","ũ"})), "")</f>
        <v>petri chrysologi episcopi ecclesiae doctoris</v>
      </c>
      <c r="K222" s="6">
        <f t="shared" si="37"/>
        <v>6</v>
      </c>
      <c r="L222" s="6" t="str">
        <f t="shared" si="38"/>
        <v>chrysologiepiscopiecclesiaedoctoris</v>
      </c>
      <c r="M222" s="6"/>
      <c r="N222" s="1">
        <v>45868</v>
      </c>
      <c r="O222" s="3" t="s">
        <v>471</v>
      </c>
      <c r="P222" s="4" t="s">
        <v>9</v>
      </c>
      <c r="Q222" s="2" t="s">
        <v>203</v>
      </c>
      <c r="R222" s="9" t="s">
        <v>697</v>
      </c>
      <c r="S222" s="2" t="s">
        <v>322</v>
      </c>
    </row>
    <row r="223" spans="1:20" ht="14.4" customHeight="1" x14ac:dyDescent="0.3">
      <c r="A223" s="7" t="str">
        <f t="shared" si="30"/>
        <v>fix.0731.101.ignlo</v>
      </c>
      <c r="B223" s="7" t="str">
        <f t="shared" si="31"/>
        <v>101</v>
      </c>
      <c r="C223" s="8" t="str">
        <f t="shared" si="32"/>
        <v>S. Ignatii de Loyola, presbyteri</v>
      </c>
      <c r="D223" s="8" t="str">
        <f t="shared" si="32"/>
        <v xml:space="preserve">St. Ignatius of Loyola, Priest </v>
      </c>
      <c r="E223" s="8" t="str">
        <f t="shared" si="33"/>
        <v>성 이냐시오 데 로욜라 사제 기념일</v>
      </c>
      <c r="F223" s="7" t="s">
        <v>578</v>
      </c>
      <c r="G223" s="7" t="str">
        <f t="shared" si="34"/>
        <v>0731</v>
      </c>
      <c r="H223" s="7" t="str">
        <f t="shared" si="35"/>
        <v>101</v>
      </c>
      <c r="I223" s="7" t="str">
        <f t="shared" si="36"/>
        <v>ignlo</v>
      </c>
      <c r="J223" s="6" t="str">
        <f>IFERROR(_xlfn.CONCAT(_xlfn.TEXTSPLIT(SUBSTITUTE(SUBSTITUTE(LOWER(Q223),"æ","ae"), " de ", " "),{"b. ","ss. ","s. ","ss.mi ","in ",".",","," et","sanctae ","ę","ũ"})), "")</f>
        <v>ignatii loyola presbyteri</v>
      </c>
      <c r="K223" s="6">
        <f t="shared" si="37"/>
        <v>8</v>
      </c>
      <c r="L223" s="6" t="str">
        <f t="shared" si="38"/>
        <v>loyolapresbyteri</v>
      </c>
      <c r="M223" s="6"/>
      <c r="N223" s="1">
        <v>45869</v>
      </c>
      <c r="O223" s="3">
        <v>101</v>
      </c>
      <c r="P223" s="4" t="s">
        <v>8</v>
      </c>
      <c r="Q223" s="2" t="s">
        <v>204</v>
      </c>
      <c r="R223" s="9" t="s">
        <v>698</v>
      </c>
      <c r="S223" s="2" t="s">
        <v>323</v>
      </c>
    </row>
    <row r="224" spans="1:20" ht="14.4" customHeight="1" x14ac:dyDescent="0.3">
      <c r="A224" s="7" t="str">
        <f t="shared" si="30"/>
        <v>fix.0801.101.alfma</v>
      </c>
      <c r="B224" s="7" t="str">
        <f t="shared" si="31"/>
        <v>101</v>
      </c>
      <c r="C224" s="8" t="str">
        <f t="shared" si="32"/>
        <v xml:space="preserve">S. Alfonsi Mariæ de’ Liguori, episcopi et Ecclesiæ doctoris </v>
      </c>
      <c r="D224" s="8" t="str">
        <f t="shared" si="32"/>
        <v xml:space="preserve">St. Alphonsus Mary Liguori, Bishop and Doctor of the Church </v>
      </c>
      <c r="E224" s="8" t="str">
        <f t="shared" si="33"/>
        <v>성 알폰소 마리아 데 리구오리 주교 학자 기념일</v>
      </c>
      <c r="F224" s="7" t="s">
        <v>578</v>
      </c>
      <c r="G224" s="7" t="str">
        <f t="shared" si="34"/>
        <v>0801</v>
      </c>
      <c r="H224" s="7" t="str">
        <f t="shared" si="35"/>
        <v>101</v>
      </c>
      <c r="I224" s="7" t="str">
        <f t="shared" si="36"/>
        <v>alfma</v>
      </c>
      <c r="J224" s="6" t="str">
        <f>IFERROR(_xlfn.CONCAT(_xlfn.TEXTSPLIT(SUBSTITUTE(SUBSTITUTE(LOWER(Q224),"æ","ae"), " de ", " "),{"b. ","ss. ","s. ","ss.mi ","in ",".",","," et","sanctae ","ę","ũ"})), "")</f>
        <v xml:space="preserve">alfonsi mariae de’ liguori episcopi ecclesiae doctoris </v>
      </c>
      <c r="K224" s="6">
        <f t="shared" si="37"/>
        <v>8</v>
      </c>
      <c r="L224" s="6" t="str">
        <f t="shared" si="38"/>
        <v>mariaede’liguoriepiscopiecclesiaedoctoris</v>
      </c>
      <c r="M224" s="6"/>
      <c r="N224" s="1">
        <v>45870</v>
      </c>
      <c r="O224" s="3">
        <v>101</v>
      </c>
      <c r="P224" s="4" t="s">
        <v>8</v>
      </c>
      <c r="Q224" s="2" t="s">
        <v>205</v>
      </c>
      <c r="R224" s="9" t="s">
        <v>699</v>
      </c>
      <c r="S224" s="2" t="s">
        <v>324</v>
      </c>
    </row>
    <row r="225" spans="1:19" ht="14.4" customHeight="1" x14ac:dyDescent="0.3">
      <c r="A225" s="7" t="str">
        <f t="shared" si="30"/>
        <v>fix.0802.121.eusve</v>
      </c>
      <c r="B225" s="7" t="str">
        <f t="shared" si="31"/>
        <v>121</v>
      </c>
      <c r="C225" s="8" t="str">
        <f t="shared" si="32"/>
        <v>S. Eusebii Vercellensis, episcopi</v>
      </c>
      <c r="D225" s="8" t="str">
        <f t="shared" si="32"/>
        <v>St. Eusebius of Vercelli, Bishop</v>
      </c>
      <c r="E225" s="8" t="str">
        <f t="shared" si="33"/>
        <v>베르첼리의 성 에우세비오 주교</v>
      </c>
      <c r="F225" s="7" t="s">
        <v>578</v>
      </c>
      <c r="G225" s="7" t="str">
        <f t="shared" si="34"/>
        <v>0802</v>
      </c>
      <c r="H225" s="7" t="str">
        <f t="shared" si="35"/>
        <v>121</v>
      </c>
      <c r="I225" s="7" t="str">
        <f t="shared" si="36"/>
        <v>eusve</v>
      </c>
      <c r="J225" s="6" t="str">
        <f>IFERROR(_xlfn.CONCAT(_xlfn.TEXTSPLIT(SUBSTITUTE(SUBSTITUTE(LOWER(Q225),"æ","ae"), " de ", " "),{"b. ","ss. ","s. ","ss.mi ","in ",".",","," et","sanctae ","ę","ũ"})), "")</f>
        <v>eusebii vercellensis episcopi</v>
      </c>
      <c r="K225" s="6">
        <f t="shared" si="37"/>
        <v>8</v>
      </c>
      <c r="L225" s="6" t="str">
        <f t="shared" si="38"/>
        <v>vercellensisepiscopi</v>
      </c>
      <c r="M225" s="6"/>
      <c r="N225" s="1">
        <v>45871</v>
      </c>
      <c r="O225" s="3" t="s">
        <v>471</v>
      </c>
      <c r="P225" s="4" t="s">
        <v>9</v>
      </c>
      <c r="Q225" s="2" t="s">
        <v>206</v>
      </c>
      <c r="R225" s="9" t="s">
        <v>700</v>
      </c>
      <c r="S225" s="2" t="s">
        <v>325</v>
      </c>
    </row>
    <row r="226" spans="1:19" ht="14.4" customHeight="1" x14ac:dyDescent="0.3">
      <c r="A226" s="7" t="str">
        <f t="shared" si="30"/>
        <v>fix.0802.121.petiu</v>
      </c>
      <c r="B226" s="7" t="str">
        <f t="shared" si="31"/>
        <v>121</v>
      </c>
      <c r="C226" s="8" t="str">
        <f t="shared" si="32"/>
        <v>S. Petri Iuliani Eymard, presbyteri</v>
      </c>
      <c r="D226" s="8" t="str">
        <f t="shared" si="32"/>
        <v>St. Peter Julian Eymard, Priest</v>
      </c>
      <c r="E226" s="8" t="str">
        <f t="shared" si="33"/>
        <v>성 베드로 율리아노 예마르 사제</v>
      </c>
      <c r="F226" s="7" t="s">
        <v>578</v>
      </c>
      <c r="G226" s="7" t="str">
        <f t="shared" si="34"/>
        <v>0802</v>
      </c>
      <c r="H226" s="7" t="str">
        <f t="shared" si="35"/>
        <v>121</v>
      </c>
      <c r="I226" s="7" t="str">
        <f t="shared" si="36"/>
        <v>petiu</v>
      </c>
      <c r="J226" s="6" t="str">
        <f>IFERROR(_xlfn.CONCAT(_xlfn.TEXTSPLIT(SUBSTITUTE(SUBSTITUTE(LOWER(Q226),"æ","ae"), " de ", " "),{"b. ","ss. ","s. ","ss.mi ","in ",".",","," et","sanctae ","ę","ũ"})), "")</f>
        <v>petri iuliani eymard presbyteri</v>
      </c>
      <c r="K226" s="6">
        <f t="shared" si="37"/>
        <v>6</v>
      </c>
      <c r="L226" s="6" t="str">
        <f t="shared" si="38"/>
        <v>iulianieymardpresbyteri</v>
      </c>
      <c r="M226" s="6"/>
      <c r="N226" s="1">
        <v>45871</v>
      </c>
      <c r="O226" s="3" t="s">
        <v>471</v>
      </c>
      <c r="P226" s="4" t="s">
        <v>9</v>
      </c>
      <c r="Q226" s="2" t="s">
        <v>207</v>
      </c>
      <c r="R226" s="9" t="s">
        <v>701</v>
      </c>
      <c r="S226" s="2" t="s">
        <v>326</v>
      </c>
    </row>
    <row r="227" spans="1:19" ht="14.4" customHeight="1" x14ac:dyDescent="0.3">
      <c r="A227" s="7" t="str">
        <f t="shared" si="30"/>
        <v/>
      </c>
      <c r="B227" s="7" t="str">
        <f t="shared" si="31"/>
        <v/>
      </c>
      <c r="C227" s="8" t="str">
        <f t="shared" si="32"/>
        <v/>
      </c>
      <c r="D227" s="8" t="str">
        <f t="shared" si="32"/>
        <v/>
      </c>
      <c r="E227" s="8" t="str">
        <f t="shared" si="33"/>
        <v/>
      </c>
      <c r="F227" s="7" t="s">
        <v>578</v>
      </c>
      <c r="G227" s="7" t="str">
        <f t="shared" si="34"/>
        <v>0803</v>
      </c>
      <c r="H227" s="7" t="str">
        <f t="shared" si="35"/>
        <v/>
      </c>
      <c r="I227" s="7" t="str">
        <f t="shared" si="36"/>
        <v/>
      </c>
      <c r="J227" s="6" t="str">
        <f>IFERROR(_xlfn.CONCAT(_xlfn.TEXTSPLIT(SUBSTITUTE(SUBSTITUTE(LOWER(Q227),"æ","ae"), " de ", " "),{"b. ","ss. ","s. ","ss.mi ","in ",".",","," et","sanctae ","ę","ũ"})), "")</f>
        <v/>
      </c>
      <c r="K227" s="6" t="str">
        <f t="shared" si="37"/>
        <v/>
      </c>
      <c r="L227" s="6" t="str">
        <f t="shared" si="38"/>
        <v/>
      </c>
      <c r="M227" s="6"/>
      <c r="N227" s="1">
        <v>45872</v>
      </c>
    </row>
    <row r="228" spans="1:19" ht="14.4" customHeight="1" x14ac:dyDescent="0.3">
      <c r="A228" s="7" t="str">
        <f t="shared" si="30"/>
        <v>fix.0804.101.ioama</v>
      </c>
      <c r="B228" s="7" t="str">
        <f t="shared" si="31"/>
        <v>101</v>
      </c>
      <c r="C228" s="8" t="str">
        <f t="shared" si="32"/>
        <v>S. Ioannis Mariæ Vianney, presbyteri</v>
      </c>
      <c r="D228" s="8" t="str">
        <f t="shared" si="32"/>
        <v xml:space="preserve">St. John Mary Vianney, Priest </v>
      </c>
      <c r="E228" s="8" t="str">
        <f t="shared" si="33"/>
        <v>성 요한 마리아 비안네 사제 기념일</v>
      </c>
      <c r="F228" s="7" t="s">
        <v>578</v>
      </c>
      <c r="G228" s="7" t="str">
        <f t="shared" si="34"/>
        <v>0804</v>
      </c>
      <c r="H228" s="7" t="str">
        <f t="shared" si="35"/>
        <v>101</v>
      </c>
      <c r="I228" s="7" t="str">
        <f t="shared" si="36"/>
        <v>ioama</v>
      </c>
      <c r="J228" s="6" t="str">
        <f>IFERROR(_xlfn.CONCAT(_xlfn.TEXTSPLIT(SUBSTITUTE(SUBSTITUTE(LOWER(Q228),"æ","ae"), " de ", " "),{"b. ","ss. ","s. ","ss.mi ","in ",".",","," et","sanctae ","ę","ũ"})), "")</f>
        <v>ioannis mariae vianney presbyteri</v>
      </c>
      <c r="K228" s="6">
        <f t="shared" si="37"/>
        <v>8</v>
      </c>
      <c r="L228" s="6" t="str">
        <f t="shared" si="38"/>
        <v>mariaevianneypresbyteri</v>
      </c>
      <c r="M228" s="6"/>
      <c r="N228" s="1">
        <v>45873</v>
      </c>
      <c r="O228" s="3">
        <v>101</v>
      </c>
      <c r="P228" s="4" t="s">
        <v>8</v>
      </c>
      <c r="Q228" s="2" t="s">
        <v>208</v>
      </c>
      <c r="R228" s="9" t="s">
        <v>702</v>
      </c>
      <c r="S228" s="2" t="s">
        <v>327</v>
      </c>
    </row>
    <row r="229" spans="1:19" ht="14.4" customHeight="1" x14ac:dyDescent="0.3">
      <c r="A229" s="7" t="str">
        <f t="shared" si="30"/>
        <v>fix.0805.121.dedba</v>
      </c>
      <c r="B229" s="7" t="str">
        <f t="shared" si="31"/>
        <v>121</v>
      </c>
      <c r="C229" s="8" t="str">
        <f t="shared" si="32"/>
        <v>In Dedicatione basilicæ S. Mariæ</v>
      </c>
      <c r="D229" s="8" t="str">
        <f t="shared" si="32"/>
        <v>The Dedication of the Basilica of St. Mary Major</v>
      </c>
      <c r="E229" s="8" t="str">
        <f t="shared" si="33"/>
        <v>성모 대성전 봉헌</v>
      </c>
      <c r="F229" s="7" t="s">
        <v>578</v>
      </c>
      <c r="G229" s="7" t="str">
        <f t="shared" si="34"/>
        <v>0805</v>
      </c>
      <c r="H229" s="7" t="str">
        <f t="shared" si="35"/>
        <v>121</v>
      </c>
      <c r="I229" s="7" t="str">
        <f t="shared" si="36"/>
        <v>dedba</v>
      </c>
      <c r="J229" s="6" t="str">
        <f>IFERROR(_xlfn.CONCAT(_xlfn.TEXTSPLIT(SUBSTITUTE(SUBSTITUTE(LOWER(Q229),"æ","ae"), " de ", " "),{"b. ","ss. ","s. ","ss.mi ","in ",".",","," et","sanctae ","ę","ũ"})), "")</f>
        <v>dedicatione basilicae mariae</v>
      </c>
      <c r="K229" s="6">
        <f t="shared" si="37"/>
        <v>12</v>
      </c>
      <c r="L229" s="6" t="str">
        <f t="shared" si="38"/>
        <v>basilicaemariae</v>
      </c>
      <c r="M229" s="6"/>
      <c r="N229" s="1">
        <v>45874</v>
      </c>
      <c r="O229" s="3" t="s">
        <v>471</v>
      </c>
      <c r="P229" s="4" t="s">
        <v>9</v>
      </c>
      <c r="Q229" s="2" t="s">
        <v>209</v>
      </c>
      <c r="R229" s="9" t="s">
        <v>703</v>
      </c>
      <c r="S229" s="2" t="s">
        <v>328</v>
      </c>
    </row>
    <row r="230" spans="1:19" ht="14.4" customHeight="1" x14ac:dyDescent="0.3">
      <c r="A230" s="7" t="str">
        <f t="shared" si="30"/>
        <v>fix.0806.051.trado</v>
      </c>
      <c r="B230" s="7" t="str">
        <f t="shared" si="31"/>
        <v>051</v>
      </c>
      <c r="C230" s="8" t="str">
        <f t="shared" si="32"/>
        <v>In Transfiguratione Domini</v>
      </c>
      <c r="D230" s="8" t="str">
        <f t="shared" si="32"/>
        <v xml:space="preserve">The Transfiguration of the Lord </v>
      </c>
      <c r="E230" s="8" t="str">
        <f t="shared" si="33"/>
        <v>주님의 거룩한 변모 축일</v>
      </c>
      <c r="F230" s="7" t="s">
        <v>578</v>
      </c>
      <c r="G230" s="7" t="str">
        <f t="shared" si="34"/>
        <v>0806</v>
      </c>
      <c r="H230" s="7" t="str">
        <f t="shared" si="35"/>
        <v>051</v>
      </c>
      <c r="I230" s="7" t="str">
        <f t="shared" si="36"/>
        <v>trado</v>
      </c>
      <c r="J230" s="6" t="str">
        <f>IFERROR(_xlfn.CONCAT(_xlfn.TEXTSPLIT(SUBSTITUTE(SUBSTITUTE(LOWER(Q230),"æ","ae"), " de ", " "),{"b. ","ss. ","s. ","ss.mi ","in ",".",","," et","sanctae ","ę","ũ"})), "")</f>
        <v>transfiguratione domini</v>
      </c>
      <c r="K230" s="6">
        <f t="shared" si="37"/>
        <v>17</v>
      </c>
      <c r="L230" s="6" t="str">
        <f t="shared" si="38"/>
        <v>domini</v>
      </c>
      <c r="M230" s="6"/>
      <c r="N230" s="1">
        <v>45875</v>
      </c>
      <c r="O230" s="3" t="s">
        <v>462</v>
      </c>
      <c r="P230" s="4" t="s">
        <v>20</v>
      </c>
      <c r="Q230" s="2" t="s">
        <v>210</v>
      </c>
      <c r="R230" s="9" t="s">
        <v>704</v>
      </c>
      <c r="S230" s="2" t="s">
        <v>329</v>
      </c>
    </row>
    <row r="231" spans="1:19" ht="14.4" customHeight="1" x14ac:dyDescent="0.3">
      <c r="A231" s="7" t="str">
        <f t="shared" si="30"/>
        <v>fix.0807.121.xysii</v>
      </c>
      <c r="B231" s="7" t="str">
        <f t="shared" si="31"/>
        <v>121</v>
      </c>
      <c r="C231" s="8" t="str">
        <f t="shared" si="32"/>
        <v>Ss. Xysti II, papæ, et sociorum, martyrum</v>
      </c>
      <c r="D231" s="8" t="str">
        <f t="shared" si="32"/>
        <v>St. Sixtus II, Pope, and Companions, Martyrs</v>
      </c>
      <c r="E231" s="8" t="str">
        <f t="shared" si="33"/>
        <v>성 식스토 2세 교황과 동료 순교자들</v>
      </c>
      <c r="F231" s="7" t="s">
        <v>578</v>
      </c>
      <c r="G231" s="7" t="str">
        <f t="shared" si="34"/>
        <v>0807</v>
      </c>
      <c r="H231" s="7" t="str">
        <f t="shared" si="35"/>
        <v>121</v>
      </c>
      <c r="I231" s="7" t="str">
        <f t="shared" si="36"/>
        <v>xysii</v>
      </c>
      <c r="J231" s="6" t="str">
        <f>IFERROR(_xlfn.CONCAT(_xlfn.TEXTSPLIT(SUBSTITUTE(SUBSTITUTE(LOWER(Q231),"æ","ae"), " de ", " "),{"b. ","ss. ","s. ","ss.mi ","in ",".",","," et","sanctae ","ę","ũ"})), "")</f>
        <v>xysti ii papae sociorum martyrum</v>
      </c>
      <c r="K231" s="6">
        <f t="shared" si="37"/>
        <v>6</v>
      </c>
      <c r="L231" s="6" t="str">
        <f t="shared" si="38"/>
        <v>iipapaesociorummartyrum</v>
      </c>
      <c r="M231" s="6"/>
      <c r="N231" s="1">
        <v>45876</v>
      </c>
      <c r="O231" s="3" t="s">
        <v>471</v>
      </c>
      <c r="P231" s="4" t="s">
        <v>9</v>
      </c>
      <c r="Q231" s="2" t="s">
        <v>211</v>
      </c>
      <c r="R231" s="9" t="s">
        <v>705</v>
      </c>
      <c r="S231" s="2" t="s">
        <v>330</v>
      </c>
    </row>
    <row r="232" spans="1:19" ht="14.4" customHeight="1" x14ac:dyDescent="0.3">
      <c r="A232" s="7" t="str">
        <f t="shared" si="30"/>
        <v>fix.0807.121.caipr</v>
      </c>
      <c r="B232" s="7" t="str">
        <f t="shared" si="31"/>
        <v>121</v>
      </c>
      <c r="C232" s="8" t="str">
        <f t="shared" si="32"/>
        <v>S. Caietani, presbyteri</v>
      </c>
      <c r="D232" s="8" t="str">
        <f t="shared" si="32"/>
        <v>St. Cajetan, Priest</v>
      </c>
      <c r="E232" s="8" t="str">
        <f t="shared" si="33"/>
        <v>성 가예타노 사제</v>
      </c>
      <c r="F232" s="7" t="s">
        <v>578</v>
      </c>
      <c r="G232" s="7" t="str">
        <f t="shared" si="34"/>
        <v>0807</v>
      </c>
      <c r="H232" s="7" t="str">
        <f t="shared" si="35"/>
        <v>121</v>
      </c>
      <c r="I232" s="7" t="str">
        <f t="shared" si="36"/>
        <v>caipr</v>
      </c>
      <c r="J232" s="6" t="str">
        <f>IFERROR(_xlfn.CONCAT(_xlfn.TEXTSPLIT(SUBSTITUTE(SUBSTITUTE(LOWER(Q232),"æ","ae"), " de ", " "),{"b. ","ss. ","s. ","ss.mi ","in ",".",","," et","sanctae ","ę","ũ"})), "")</f>
        <v>caietani presbyteri</v>
      </c>
      <c r="K232" s="6">
        <f t="shared" si="37"/>
        <v>9</v>
      </c>
      <c r="L232" s="6" t="str">
        <f t="shared" si="38"/>
        <v>presbyteri</v>
      </c>
      <c r="M232" s="6"/>
      <c r="N232" s="1">
        <v>45876</v>
      </c>
      <c r="O232" s="3" t="s">
        <v>471</v>
      </c>
      <c r="P232" s="4" t="s">
        <v>9</v>
      </c>
      <c r="Q232" s="2" t="s">
        <v>212</v>
      </c>
      <c r="R232" s="9" t="s">
        <v>706</v>
      </c>
      <c r="S232" s="2" t="s">
        <v>331</v>
      </c>
    </row>
    <row r="233" spans="1:19" ht="14.4" customHeight="1" x14ac:dyDescent="0.3">
      <c r="A233" s="7" t="str">
        <f t="shared" si="30"/>
        <v>fix.0808.101.dompr</v>
      </c>
      <c r="B233" s="7" t="str">
        <f t="shared" si="31"/>
        <v>101</v>
      </c>
      <c r="C233" s="8" t="str">
        <f t="shared" si="32"/>
        <v>S. Dominici, presbyteri</v>
      </c>
      <c r="D233" s="8" t="str">
        <f t="shared" si="32"/>
        <v xml:space="preserve">St. Dominic, Priest </v>
      </c>
      <c r="E233" s="8" t="str">
        <f t="shared" si="33"/>
        <v>성 도미니코 사제 기념일</v>
      </c>
      <c r="F233" s="7" t="s">
        <v>578</v>
      </c>
      <c r="G233" s="7" t="str">
        <f t="shared" si="34"/>
        <v>0808</v>
      </c>
      <c r="H233" s="7" t="str">
        <f t="shared" si="35"/>
        <v>101</v>
      </c>
      <c r="I233" s="7" t="str">
        <f t="shared" si="36"/>
        <v>dompr</v>
      </c>
      <c r="J233" s="6" t="str">
        <f>IFERROR(_xlfn.CONCAT(_xlfn.TEXTSPLIT(SUBSTITUTE(SUBSTITUTE(LOWER(Q233),"æ","ae"), " de ", " "),{"b. ","ss. ","s. ","ss.mi ","in ",".",","," et","sanctae ","ę","ũ"})), "")</f>
        <v>dominici presbyteri</v>
      </c>
      <c r="K233" s="6">
        <f t="shared" si="37"/>
        <v>9</v>
      </c>
      <c r="L233" s="6" t="str">
        <f t="shared" si="38"/>
        <v>presbyteri</v>
      </c>
      <c r="M233" s="6"/>
      <c r="N233" s="1">
        <v>45877</v>
      </c>
      <c r="O233" s="3">
        <v>101</v>
      </c>
      <c r="P233" s="4" t="s">
        <v>8</v>
      </c>
      <c r="Q233" s="2" t="s">
        <v>213</v>
      </c>
      <c r="R233" s="9" t="s">
        <v>707</v>
      </c>
      <c r="S233" s="2" t="s">
        <v>332</v>
      </c>
    </row>
    <row r="234" spans="1:19" ht="14.4" customHeight="1" x14ac:dyDescent="0.3">
      <c r="A234" s="7" t="str">
        <f t="shared" si="30"/>
        <v>fix.0809.121.terbe</v>
      </c>
      <c r="B234" s="7" t="str">
        <f t="shared" si="31"/>
        <v>121</v>
      </c>
      <c r="C234" s="8" t="str">
        <f t="shared" si="32"/>
        <v>S. Teresiæ Benedictæ a Cruce, virginis et martyris</v>
      </c>
      <c r="D234" s="8" t="str">
        <f t="shared" si="32"/>
        <v>St. Teresa Benedicta of the Cross, Virgin and Martyr</v>
      </c>
      <c r="E234" s="8" t="str">
        <f t="shared" si="33"/>
        <v>십자가의 성녀 데레사 베네딕타 동정 순교자</v>
      </c>
      <c r="F234" s="7" t="s">
        <v>578</v>
      </c>
      <c r="G234" s="7" t="str">
        <f t="shared" si="34"/>
        <v>0809</v>
      </c>
      <c r="H234" s="7" t="str">
        <f t="shared" si="35"/>
        <v>121</v>
      </c>
      <c r="I234" s="7" t="str">
        <f t="shared" si="36"/>
        <v>terbe</v>
      </c>
      <c r="J234" s="6" t="str">
        <f>IFERROR(_xlfn.CONCAT(_xlfn.TEXTSPLIT(SUBSTITUTE(SUBSTITUTE(LOWER(Q234),"æ","ae"), " de ", " "),{"b. ","ss. ","s. ","ss.mi ","in ",".",","," et","sanctae ","ę","ũ"})), "")</f>
        <v>teresiae benedictae a cruce virginis martyris</v>
      </c>
      <c r="K234" s="6">
        <f t="shared" si="37"/>
        <v>9</v>
      </c>
      <c r="L234" s="6" t="str">
        <f t="shared" si="38"/>
        <v>benedictaeacrucevirginismartyris</v>
      </c>
      <c r="M234" s="6"/>
      <c r="N234" s="1">
        <v>45878</v>
      </c>
      <c r="O234" s="3" t="s">
        <v>471</v>
      </c>
      <c r="P234" s="4" t="s">
        <v>9</v>
      </c>
      <c r="Q234" s="2" t="s">
        <v>214</v>
      </c>
      <c r="R234" s="9" t="s">
        <v>708</v>
      </c>
      <c r="S234" s="2" t="s">
        <v>333</v>
      </c>
    </row>
    <row r="235" spans="1:19" ht="14.4" customHeight="1" x14ac:dyDescent="0.3">
      <c r="A235" s="7" t="str">
        <f t="shared" si="30"/>
        <v>fix.0810.071.laudi</v>
      </c>
      <c r="B235" s="7" t="str">
        <f t="shared" si="31"/>
        <v>071</v>
      </c>
      <c r="C235" s="8" t="str">
        <f t="shared" si="32"/>
        <v>S. Laurentii, diaconi et martyris</v>
      </c>
      <c r="D235" s="8" t="str">
        <f t="shared" si="32"/>
        <v xml:space="preserve">St. Lawrence, Deacon and Martyr </v>
      </c>
      <c r="E235" s="8" t="str">
        <f t="shared" si="33"/>
        <v>성 라우렌시오 부제 순교자 축일</v>
      </c>
      <c r="F235" s="7" t="s">
        <v>578</v>
      </c>
      <c r="G235" s="7" t="str">
        <f t="shared" si="34"/>
        <v>0810</v>
      </c>
      <c r="H235" s="7" t="str">
        <f t="shared" si="35"/>
        <v>071</v>
      </c>
      <c r="I235" s="7" t="str">
        <f t="shared" si="36"/>
        <v>laudi</v>
      </c>
      <c r="J235" s="6" t="str">
        <f>IFERROR(_xlfn.CONCAT(_xlfn.TEXTSPLIT(SUBSTITUTE(SUBSTITUTE(LOWER(Q235),"æ","ae"), " de ", " "),{"b. ","ss. ","s. ","ss.mi ","in ",".",","," et","sanctae ","ę","ũ"})), "")</f>
        <v>laurentii diaconi martyris</v>
      </c>
      <c r="K235" s="6">
        <f t="shared" si="37"/>
        <v>10</v>
      </c>
      <c r="L235" s="6" t="str">
        <f t="shared" si="38"/>
        <v>diaconimartyris</v>
      </c>
      <c r="M235" s="6"/>
      <c r="N235" s="1">
        <v>45879</v>
      </c>
      <c r="O235" s="3" t="s">
        <v>463</v>
      </c>
      <c r="P235" s="4" t="s">
        <v>20</v>
      </c>
      <c r="Q235" s="2" t="s">
        <v>215</v>
      </c>
      <c r="R235" s="9" t="s">
        <v>709</v>
      </c>
      <c r="S235" s="2" t="s">
        <v>334</v>
      </c>
    </row>
    <row r="236" spans="1:19" ht="14.4" customHeight="1" x14ac:dyDescent="0.3">
      <c r="A236" s="7" t="str">
        <f t="shared" si="30"/>
        <v>fix.0811.101.clavi</v>
      </c>
      <c r="B236" s="7" t="str">
        <f t="shared" si="31"/>
        <v>101</v>
      </c>
      <c r="C236" s="8" t="str">
        <f t="shared" si="32"/>
        <v>S. Claræ, virginis</v>
      </c>
      <c r="D236" s="8" t="str">
        <f t="shared" si="32"/>
        <v xml:space="preserve">St. Clare, Virgin </v>
      </c>
      <c r="E236" s="8" t="str">
        <f t="shared" si="33"/>
        <v>성녀 클라라 동정 기념일</v>
      </c>
      <c r="F236" s="7" t="s">
        <v>578</v>
      </c>
      <c r="G236" s="7" t="str">
        <f t="shared" si="34"/>
        <v>0811</v>
      </c>
      <c r="H236" s="7" t="str">
        <f t="shared" si="35"/>
        <v>101</v>
      </c>
      <c r="I236" s="7" t="str">
        <f t="shared" si="36"/>
        <v>clavi</v>
      </c>
      <c r="J236" s="6" t="str">
        <f>IFERROR(_xlfn.CONCAT(_xlfn.TEXTSPLIT(SUBSTITUTE(SUBSTITUTE(LOWER(Q236),"æ","ae"), " de ", " "),{"b. ","ss. ","s. ","ss.mi ","in ",".",","," et","sanctae ","ę","ũ"})), "")</f>
        <v>clarae virginis</v>
      </c>
      <c r="K236" s="6">
        <f t="shared" si="37"/>
        <v>7</v>
      </c>
      <c r="L236" s="6" t="str">
        <f t="shared" si="38"/>
        <v>virginis</v>
      </c>
      <c r="M236" s="6"/>
      <c r="N236" s="1">
        <v>45880</v>
      </c>
      <c r="O236" s="3">
        <v>101</v>
      </c>
      <c r="P236" s="4" t="s">
        <v>8</v>
      </c>
      <c r="Q236" s="2" t="s">
        <v>216</v>
      </c>
      <c r="R236" s="9" t="s">
        <v>710</v>
      </c>
      <c r="S236" s="2" t="s">
        <v>335</v>
      </c>
    </row>
    <row r="237" spans="1:19" ht="14.4" customHeight="1" x14ac:dyDescent="0.3">
      <c r="A237" s="7" t="str">
        <f t="shared" si="30"/>
        <v>fix.0812.121.ioafr</v>
      </c>
      <c r="B237" s="7" t="str">
        <f t="shared" si="31"/>
        <v>121</v>
      </c>
      <c r="C237" s="8" t="str">
        <f t="shared" si="32"/>
        <v>S. Ioannæ Franciscæ de Chantal, religiosæ</v>
      </c>
      <c r="D237" s="8" t="str">
        <f t="shared" si="32"/>
        <v>St. Jane Frances de Chantal, Religious</v>
      </c>
      <c r="E237" s="8" t="str">
        <f t="shared" si="33"/>
        <v>성녀 요안나 프란치스카 드 샹탈 수도자</v>
      </c>
      <c r="F237" s="7" t="s">
        <v>578</v>
      </c>
      <c r="G237" s="7" t="str">
        <f t="shared" si="34"/>
        <v>0812</v>
      </c>
      <c r="H237" s="7" t="str">
        <f t="shared" si="35"/>
        <v>121</v>
      </c>
      <c r="I237" s="7" t="str">
        <f t="shared" si="36"/>
        <v>ioafr</v>
      </c>
      <c r="J237" s="6" t="str">
        <f>IFERROR(_xlfn.CONCAT(_xlfn.TEXTSPLIT(SUBSTITUTE(SUBSTITUTE(LOWER(Q237),"æ","ae"), " de ", " "),{"b. ","ss. ","s. ","ss.mi ","in ",".",","," et","sanctae ","ę","ũ"})), "")</f>
        <v>ioannae franciscae chantal religiosae</v>
      </c>
      <c r="K237" s="6">
        <f t="shared" si="37"/>
        <v>8</v>
      </c>
      <c r="L237" s="6" t="str">
        <f t="shared" si="38"/>
        <v>franciscaechantalreligiosae</v>
      </c>
      <c r="M237" s="6"/>
      <c r="N237" s="1">
        <v>45881</v>
      </c>
      <c r="O237" s="3" t="s">
        <v>471</v>
      </c>
      <c r="P237" s="4" t="s">
        <v>9</v>
      </c>
      <c r="Q237" s="2" t="s">
        <v>217</v>
      </c>
      <c r="R237" s="9" t="s">
        <v>711</v>
      </c>
      <c r="S237" s="2" t="s">
        <v>336</v>
      </c>
    </row>
    <row r="238" spans="1:19" ht="14.4" customHeight="1" x14ac:dyDescent="0.3">
      <c r="A238" s="7" t="str">
        <f t="shared" si="30"/>
        <v>fix.0813.121.ponpa</v>
      </c>
      <c r="B238" s="7" t="str">
        <f t="shared" si="31"/>
        <v>121</v>
      </c>
      <c r="C238" s="8" t="str">
        <f t="shared" si="32"/>
        <v>Ss. Pontiani, papæ, et Hippolyti, presbyteri, martyrum</v>
      </c>
      <c r="D238" s="8" t="str">
        <f t="shared" si="32"/>
        <v>Sts. Pontian, Pope, and Hippolytus, Priest, Martyrs</v>
      </c>
      <c r="E238" s="8" t="str">
        <f t="shared" si="33"/>
        <v>성 폰시아노 교황과 성 히폴리토 사제 순교자</v>
      </c>
      <c r="F238" s="7" t="s">
        <v>578</v>
      </c>
      <c r="G238" s="7" t="str">
        <f t="shared" si="34"/>
        <v>0813</v>
      </c>
      <c r="H238" s="7" t="str">
        <f t="shared" si="35"/>
        <v>121</v>
      </c>
      <c r="I238" s="7" t="str">
        <f t="shared" si="36"/>
        <v>ponpa</v>
      </c>
      <c r="J238" s="6" t="str">
        <f>IFERROR(_xlfn.CONCAT(_xlfn.TEXTSPLIT(SUBSTITUTE(SUBSTITUTE(LOWER(Q238),"æ","ae"), " de ", " "),{"b. ","ss. ","s. ","ss.mi ","in ",".",","," et","sanctae ","ę","ũ"})), "")</f>
        <v>pontiani papae hippolyti presbyteri martyrum</v>
      </c>
      <c r="K238" s="6">
        <f t="shared" si="37"/>
        <v>9</v>
      </c>
      <c r="L238" s="6" t="str">
        <f t="shared" si="38"/>
        <v>papaehippolytipresbyterimartyrum</v>
      </c>
      <c r="M238" s="6"/>
      <c r="N238" s="1">
        <v>45882</v>
      </c>
      <c r="O238" s="3" t="s">
        <v>471</v>
      </c>
      <c r="P238" s="4" t="s">
        <v>9</v>
      </c>
      <c r="Q238" s="2" t="s">
        <v>218</v>
      </c>
      <c r="R238" s="9" t="s">
        <v>712</v>
      </c>
      <c r="S238" s="2" t="s">
        <v>337</v>
      </c>
    </row>
    <row r="239" spans="1:19" ht="14.4" customHeight="1" x14ac:dyDescent="0.3">
      <c r="A239" s="7" t="str">
        <f t="shared" si="30"/>
        <v>fix.0814.101.maxma</v>
      </c>
      <c r="B239" s="7" t="str">
        <f t="shared" si="31"/>
        <v>101</v>
      </c>
      <c r="C239" s="8" t="str">
        <f t="shared" si="32"/>
        <v>S. Maximiliani Mariæ Kolbe, presbyteri et martyris</v>
      </c>
      <c r="D239" s="8" t="str">
        <f t="shared" si="32"/>
        <v xml:space="preserve">St. Maximilian Mary Kolbe, Priest and Martyr </v>
      </c>
      <c r="E239" s="8" t="str">
        <f t="shared" si="33"/>
        <v>성 막시밀리아노 마리아 콜베 사제 순교자 기념일</v>
      </c>
      <c r="F239" s="7" t="s">
        <v>578</v>
      </c>
      <c r="G239" s="7" t="str">
        <f t="shared" si="34"/>
        <v>0814</v>
      </c>
      <c r="H239" s="7" t="str">
        <f t="shared" si="35"/>
        <v>101</v>
      </c>
      <c r="I239" s="7" t="str">
        <f t="shared" si="36"/>
        <v>maxma</v>
      </c>
      <c r="J239" s="6" t="str">
        <f>IFERROR(_xlfn.CONCAT(_xlfn.TEXTSPLIT(SUBSTITUTE(SUBSTITUTE(LOWER(Q239),"æ","ae"), " de ", " "),{"b. ","ss. ","s. ","ss.mi ","in ",".",","," et","sanctae ","ę","ũ"})), "")</f>
        <v>maximiliani mariae kolbe presbyteri martyris</v>
      </c>
      <c r="K239" s="6">
        <f t="shared" si="37"/>
        <v>12</v>
      </c>
      <c r="L239" s="6" t="str">
        <f t="shared" si="38"/>
        <v>mariaekolbepresbyterimartyris</v>
      </c>
      <c r="M239" s="6"/>
      <c r="N239" s="1">
        <v>45883</v>
      </c>
      <c r="O239" s="3">
        <v>101</v>
      </c>
      <c r="P239" s="4" t="s">
        <v>8</v>
      </c>
      <c r="Q239" s="2" t="s">
        <v>219</v>
      </c>
      <c r="R239" s="9" t="s">
        <v>713</v>
      </c>
      <c r="S239" s="2" t="s">
        <v>338</v>
      </c>
    </row>
    <row r="240" spans="1:19" ht="14.4" customHeight="1" x14ac:dyDescent="0.3">
      <c r="A240" s="7" t="str">
        <f t="shared" si="30"/>
        <v>fix.0815.031.assbe</v>
      </c>
      <c r="B240" s="7" t="str">
        <f t="shared" si="31"/>
        <v>031</v>
      </c>
      <c r="C240" s="8" t="str">
        <f t="shared" si="32"/>
        <v xml:space="preserve">IN ASSUMPTIONE BEATÆ MARIÆ VIRGINIS </v>
      </c>
      <c r="D240" s="8" t="str">
        <f t="shared" si="32"/>
        <v xml:space="preserve">The Assumption of the Blessed Virgin Mary </v>
      </c>
      <c r="E240" s="8" t="str">
        <f t="shared" si="33"/>
        <v>성모 승천 대축일</v>
      </c>
      <c r="F240" s="7" t="s">
        <v>578</v>
      </c>
      <c r="G240" s="7" t="str">
        <f t="shared" si="34"/>
        <v>0815</v>
      </c>
      <c r="H240" s="7" t="str">
        <f t="shared" si="35"/>
        <v>031</v>
      </c>
      <c r="I240" s="7" t="str">
        <f t="shared" si="36"/>
        <v>assbe</v>
      </c>
      <c r="J240" s="6" t="str">
        <f>IFERROR(_xlfn.CONCAT(_xlfn.TEXTSPLIT(SUBSTITUTE(SUBSTITUTE(LOWER(Q240),"æ","ae"), " de ", " "),{"b. ","ss. ","s. ","ss.mi ","in ",".",","," et","sanctae ","ę","ũ"})), "")</f>
        <v xml:space="preserve">assumptione beatae mariae virginis </v>
      </c>
      <c r="K240" s="6">
        <f t="shared" si="37"/>
        <v>12</v>
      </c>
      <c r="L240" s="6" t="str">
        <f t="shared" si="38"/>
        <v>beataemariaevirginis</v>
      </c>
      <c r="M240" s="6"/>
      <c r="N240" s="1">
        <v>45884</v>
      </c>
      <c r="O240" s="3" t="s">
        <v>459</v>
      </c>
      <c r="P240" s="4" t="s">
        <v>7</v>
      </c>
      <c r="Q240" s="2" t="s">
        <v>220</v>
      </c>
      <c r="R240" s="9" t="s">
        <v>714</v>
      </c>
      <c r="S240" s="2" t="s">
        <v>339</v>
      </c>
    </row>
    <row r="241" spans="1:19" ht="14.4" customHeight="1" x14ac:dyDescent="0.3">
      <c r="A241" s="7" t="str">
        <f t="shared" si="30"/>
        <v>fix.0816.121.stehu</v>
      </c>
      <c r="B241" s="7" t="str">
        <f t="shared" si="31"/>
        <v>121</v>
      </c>
      <c r="C241" s="8" t="str">
        <f t="shared" si="32"/>
        <v>S. Stephani Hungariæ</v>
      </c>
      <c r="D241" s="8" t="str">
        <f t="shared" si="32"/>
        <v>St. Stephen of Hungary</v>
      </c>
      <c r="E241" s="8" t="str">
        <f t="shared" si="33"/>
        <v>헝가리의 성 스테파노</v>
      </c>
      <c r="F241" s="7" t="s">
        <v>578</v>
      </c>
      <c r="G241" s="7" t="str">
        <f t="shared" si="34"/>
        <v>0816</v>
      </c>
      <c r="H241" s="7" t="str">
        <f t="shared" si="35"/>
        <v>121</v>
      </c>
      <c r="I241" s="7" t="str">
        <f t="shared" si="36"/>
        <v>stehu</v>
      </c>
      <c r="J241" s="6" t="str">
        <f>IFERROR(_xlfn.CONCAT(_xlfn.TEXTSPLIT(SUBSTITUTE(SUBSTITUTE(LOWER(Q241),"æ","ae"), " de ", " "),{"b. ","ss. ","s. ","ss.mi ","in ",".",","," et","sanctae ","ę","ũ"})), "")</f>
        <v>stephani hungariae</v>
      </c>
      <c r="K241" s="6">
        <f t="shared" si="37"/>
        <v>9</v>
      </c>
      <c r="L241" s="6" t="str">
        <f t="shared" si="38"/>
        <v>hungariae</v>
      </c>
      <c r="M241" s="6"/>
      <c r="N241" s="1">
        <v>45885</v>
      </c>
      <c r="O241" s="3" t="s">
        <v>471</v>
      </c>
      <c r="P241" s="4" t="s">
        <v>9</v>
      </c>
      <c r="Q241" s="2" t="s">
        <v>221</v>
      </c>
      <c r="R241" s="9" t="s">
        <v>715</v>
      </c>
      <c r="S241" s="2" t="s">
        <v>340</v>
      </c>
    </row>
    <row r="242" spans="1:19" ht="14.4" customHeight="1" x14ac:dyDescent="0.3">
      <c r="A242" s="7" t="str">
        <f t="shared" si="30"/>
        <v/>
      </c>
      <c r="B242" s="7" t="str">
        <f t="shared" si="31"/>
        <v/>
      </c>
      <c r="C242" s="8" t="str">
        <f t="shared" si="32"/>
        <v/>
      </c>
      <c r="D242" s="8" t="str">
        <f t="shared" si="32"/>
        <v/>
      </c>
      <c r="E242" s="8" t="str">
        <f t="shared" si="33"/>
        <v/>
      </c>
      <c r="F242" s="7" t="s">
        <v>578</v>
      </c>
      <c r="G242" s="7" t="str">
        <f t="shared" si="34"/>
        <v>0817</v>
      </c>
      <c r="H242" s="7" t="str">
        <f t="shared" si="35"/>
        <v/>
      </c>
      <c r="I242" s="7" t="str">
        <f t="shared" si="36"/>
        <v/>
      </c>
      <c r="J242" s="6" t="str">
        <f>IFERROR(_xlfn.CONCAT(_xlfn.TEXTSPLIT(SUBSTITUTE(SUBSTITUTE(LOWER(Q242),"æ","ae"), " de ", " "),{"b. ","ss. ","s. ","ss.mi ","in ",".",","," et","sanctae ","ę","ũ"})), "")</f>
        <v/>
      </c>
      <c r="K242" s="6" t="str">
        <f t="shared" si="37"/>
        <v/>
      </c>
      <c r="L242" s="6" t="str">
        <f t="shared" si="38"/>
        <v/>
      </c>
      <c r="M242" s="6"/>
      <c r="N242" s="1">
        <v>45886</v>
      </c>
    </row>
    <row r="243" spans="1:19" ht="14.4" customHeight="1" x14ac:dyDescent="0.3">
      <c r="A243" s="7" t="str">
        <f t="shared" si="30"/>
        <v/>
      </c>
      <c r="B243" s="7" t="str">
        <f t="shared" si="31"/>
        <v/>
      </c>
      <c r="C243" s="8" t="str">
        <f t="shared" si="32"/>
        <v/>
      </c>
      <c r="D243" s="8" t="str">
        <f t="shared" si="32"/>
        <v/>
      </c>
      <c r="E243" s="8" t="str">
        <f t="shared" si="33"/>
        <v/>
      </c>
      <c r="F243" s="7" t="s">
        <v>578</v>
      </c>
      <c r="G243" s="7" t="str">
        <f t="shared" si="34"/>
        <v>0818</v>
      </c>
      <c r="H243" s="7" t="str">
        <f t="shared" si="35"/>
        <v/>
      </c>
      <c r="I243" s="7" t="str">
        <f t="shared" si="36"/>
        <v/>
      </c>
      <c r="J243" s="6" t="str">
        <f>IFERROR(_xlfn.CONCAT(_xlfn.TEXTSPLIT(SUBSTITUTE(SUBSTITUTE(LOWER(Q243),"æ","ae"), " de ", " "),{"b. ","ss. ","s. ","ss.mi ","in ",".",","," et","sanctae ","ę","ũ"})), "")</f>
        <v/>
      </c>
      <c r="K243" s="6" t="str">
        <f t="shared" si="37"/>
        <v/>
      </c>
      <c r="L243" s="6" t="str">
        <f t="shared" si="38"/>
        <v/>
      </c>
      <c r="M243" s="6"/>
      <c r="N243" s="1">
        <v>45887</v>
      </c>
    </row>
    <row r="244" spans="1:19" ht="14.4" customHeight="1" x14ac:dyDescent="0.3">
      <c r="A244" s="7" t="str">
        <f t="shared" si="30"/>
        <v>fix.0819.121.ioaeu</v>
      </c>
      <c r="B244" s="7" t="str">
        <f t="shared" si="31"/>
        <v>121</v>
      </c>
      <c r="C244" s="8" t="str">
        <f t="shared" si="32"/>
        <v>S. Ioannis Eudes, presbyteri</v>
      </c>
      <c r="D244" s="8" t="str">
        <f t="shared" si="32"/>
        <v>St. John Eudes, Priest</v>
      </c>
      <c r="E244" s="8" t="str">
        <f t="shared" si="33"/>
        <v>성 요한 외드 사제</v>
      </c>
      <c r="F244" s="7" t="s">
        <v>578</v>
      </c>
      <c r="G244" s="7" t="str">
        <f t="shared" si="34"/>
        <v>0819</v>
      </c>
      <c r="H244" s="7" t="str">
        <f t="shared" si="35"/>
        <v>121</v>
      </c>
      <c r="I244" s="7" t="str">
        <f t="shared" si="36"/>
        <v>ioaeu</v>
      </c>
      <c r="J244" s="6" t="str">
        <f>IFERROR(_xlfn.CONCAT(_xlfn.TEXTSPLIT(SUBSTITUTE(SUBSTITUTE(LOWER(Q244),"æ","ae"), " de ", " "),{"b. ","ss. ","s. ","ss.mi ","in ",".",","," et","sanctae ","ę","ũ"})), "")</f>
        <v>ioannis eudes presbyteri</v>
      </c>
      <c r="K244" s="6">
        <f t="shared" si="37"/>
        <v>8</v>
      </c>
      <c r="L244" s="6" t="str">
        <f t="shared" si="38"/>
        <v>eudespresbyteri</v>
      </c>
      <c r="M244" s="6"/>
      <c r="N244" s="1">
        <v>45888</v>
      </c>
      <c r="O244" s="3" t="s">
        <v>471</v>
      </c>
      <c r="P244" s="4" t="s">
        <v>9</v>
      </c>
      <c r="Q244" s="2" t="s">
        <v>222</v>
      </c>
      <c r="R244" s="9" t="s">
        <v>716</v>
      </c>
      <c r="S244" s="2" t="s">
        <v>341</v>
      </c>
    </row>
    <row r="245" spans="1:19" ht="14.4" customHeight="1" x14ac:dyDescent="0.3">
      <c r="A245" s="7" t="str">
        <f t="shared" si="30"/>
        <v>fix.0820.101.berab</v>
      </c>
      <c r="B245" s="7" t="str">
        <f t="shared" si="31"/>
        <v>101</v>
      </c>
      <c r="C245" s="8" t="str">
        <f t="shared" si="32"/>
        <v xml:space="preserve">S. Bernardi, abbatis et Ecclesiæ doctoris </v>
      </c>
      <c r="D245" s="8" t="str">
        <f t="shared" si="32"/>
        <v xml:space="preserve">St. Bernard, Abbot and Doctor of the Church </v>
      </c>
      <c r="E245" s="8" t="str">
        <f t="shared" si="33"/>
        <v>성 베르나르도 아빠스 학자 기념일</v>
      </c>
      <c r="F245" s="7" t="s">
        <v>578</v>
      </c>
      <c r="G245" s="7" t="str">
        <f t="shared" si="34"/>
        <v>0820</v>
      </c>
      <c r="H245" s="7" t="str">
        <f t="shared" si="35"/>
        <v>101</v>
      </c>
      <c r="I245" s="7" t="str">
        <f t="shared" si="36"/>
        <v>berab</v>
      </c>
      <c r="J245" s="6" t="str">
        <f>IFERROR(_xlfn.CONCAT(_xlfn.TEXTSPLIT(SUBSTITUTE(SUBSTITUTE(LOWER(Q245),"æ","ae"), " de ", " "),{"b. ","ss. ","s. ","ss.mi ","in ",".",","," et","sanctae ","ę","ũ"})), "")</f>
        <v xml:space="preserve">bernardi abbatis ecclesiae doctoris </v>
      </c>
      <c r="K245" s="6">
        <f t="shared" si="37"/>
        <v>9</v>
      </c>
      <c r="L245" s="6" t="str">
        <f t="shared" si="38"/>
        <v>abbatisecclesiaedoctoris</v>
      </c>
      <c r="M245" s="6"/>
      <c r="N245" s="1">
        <v>45889</v>
      </c>
      <c r="O245" s="3">
        <v>101</v>
      </c>
      <c r="P245" s="4" t="s">
        <v>8</v>
      </c>
      <c r="Q245" s="2" t="s">
        <v>223</v>
      </c>
      <c r="R245" s="9" t="s">
        <v>717</v>
      </c>
      <c r="S245" s="2" t="s">
        <v>342</v>
      </c>
    </row>
    <row r="246" spans="1:19" ht="14.4" customHeight="1" x14ac:dyDescent="0.3">
      <c r="A246" s="7" t="str">
        <f t="shared" si="30"/>
        <v>fix.0821.101.piixp</v>
      </c>
      <c r="B246" s="7" t="str">
        <f t="shared" si="31"/>
        <v>101</v>
      </c>
      <c r="C246" s="8" t="str">
        <f t="shared" si="32"/>
        <v xml:space="preserve">S. Pii X, papæ </v>
      </c>
      <c r="D246" s="8" t="str">
        <f t="shared" si="32"/>
        <v xml:space="preserve">St. Pius X, Pope </v>
      </c>
      <c r="E246" s="8" t="str">
        <f t="shared" si="33"/>
        <v>성 비오 10세 교황 기념일</v>
      </c>
      <c r="F246" s="7" t="s">
        <v>578</v>
      </c>
      <c r="G246" s="7" t="str">
        <f t="shared" si="34"/>
        <v>0821</v>
      </c>
      <c r="H246" s="7" t="str">
        <f t="shared" si="35"/>
        <v>101</v>
      </c>
      <c r="I246" s="7" t="str">
        <f t="shared" si="36"/>
        <v>piixp</v>
      </c>
      <c r="J246" s="6" t="str">
        <f>IFERROR(_xlfn.CONCAT(_xlfn.TEXTSPLIT(SUBSTITUTE(SUBSTITUTE(LOWER(Q246),"æ","ae"), " de ", " "),{"b. ","ss. ","s. ","ss.mi ","in ",".",","," et","sanctae ","ę","ũ"})), "")</f>
        <v xml:space="preserve">pii x papae </v>
      </c>
      <c r="K246" s="6">
        <f t="shared" si="37"/>
        <v>4</v>
      </c>
      <c r="L246" s="6" t="str">
        <f t="shared" si="38"/>
        <v>xpapae</v>
      </c>
      <c r="M246" s="6"/>
      <c r="N246" s="1">
        <v>45890</v>
      </c>
      <c r="O246" s="3">
        <v>101</v>
      </c>
      <c r="P246" s="4" t="s">
        <v>8</v>
      </c>
      <c r="Q246" s="2" t="s">
        <v>224</v>
      </c>
      <c r="R246" s="9" t="s">
        <v>718</v>
      </c>
      <c r="S246" s="2" t="s">
        <v>343</v>
      </c>
    </row>
    <row r="247" spans="1:19" ht="14.4" customHeight="1" x14ac:dyDescent="0.3">
      <c r="A247" s="7" t="str">
        <f t="shared" si="30"/>
        <v>fix.0822.101.marvi</v>
      </c>
      <c r="B247" s="7" t="str">
        <f t="shared" si="31"/>
        <v>101</v>
      </c>
      <c r="C247" s="8" t="str">
        <f t="shared" si="32"/>
        <v xml:space="preserve">B. Mariæ Virginis Reginæ </v>
      </c>
      <c r="D247" s="8" t="str">
        <f t="shared" si="32"/>
        <v xml:space="preserve">The Queenship of the Blessed Virgin Mary </v>
      </c>
      <c r="E247" s="8" t="str">
        <f t="shared" si="33"/>
        <v>복되신 동정 마리아 모후 기념일</v>
      </c>
      <c r="F247" s="7" t="s">
        <v>578</v>
      </c>
      <c r="G247" s="7" t="str">
        <f t="shared" si="34"/>
        <v>0822</v>
      </c>
      <c r="H247" s="7" t="str">
        <f t="shared" si="35"/>
        <v>101</v>
      </c>
      <c r="I247" s="7" t="str">
        <f t="shared" si="36"/>
        <v>marvi</v>
      </c>
      <c r="J247" s="6" t="str">
        <f>IFERROR(_xlfn.CONCAT(_xlfn.TEXTSPLIT(SUBSTITUTE(SUBSTITUTE(LOWER(Q247),"æ","ae"), " de ", " "),{"b. ","ss. ","s. ","ss.mi ","in ",".",","," et","sanctae ","ę","ũ"})), "")</f>
        <v xml:space="preserve">mariae virginis reginae </v>
      </c>
      <c r="K247" s="6">
        <f t="shared" si="37"/>
        <v>7</v>
      </c>
      <c r="L247" s="6" t="str">
        <f t="shared" si="38"/>
        <v>virginisreginae</v>
      </c>
      <c r="M247" s="6"/>
      <c r="N247" s="1">
        <v>45891</v>
      </c>
      <c r="O247" s="3">
        <v>101</v>
      </c>
      <c r="P247" s="4" t="s">
        <v>8</v>
      </c>
      <c r="Q247" s="2" t="s">
        <v>225</v>
      </c>
      <c r="R247" s="9" t="s">
        <v>719</v>
      </c>
      <c r="S247" s="2" t="s">
        <v>344</v>
      </c>
    </row>
    <row r="248" spans="1:19" ht="14.4" customHeight="1" x14ac:dyDescent="0.3">
      <c r="A248" s="7" t="str">
        <f t="shared" si="30"/>
        <v>fix.0823.121.rosli</v>
      </c>
      <c r="B248" s="7" t="str">
        <f t="shared" si="31"/>
        <v>121</v>
      </c>
      <c r="C248" s="8" t="str">
        <f t="shared" si="32"/>
        <v>S. Rosæ de Lima, virginis</v>
      </c>
      <c r="D248" s="8" t="str">
        <f t="shared" si="32"/>
        <v>St. Rose of Lima, Virgin</v>
      </c>
      <c r="E248" s="8" t="str">
        <f t="shared" si="33"/>
        <v>리마의 성녀 로사 동정</v>
      </c>
      <c r="F248" s="7" t="s">
        <v>578</v>
      </c>
      <c r="G248" s="7" t="str">
        <f t="shared" si="34"/>
        <v>0823</v>
      </c>
      <c r="H248" s="7" t="str">
        <f t="shared" si="35"/>
        <v>121</v>
      </c>
      <c r="I248" s="7" t="str">
        <f t="shared" si="36"/>
        <v>rosli</v>
      </c>
      <c r="J248" s="6" t="str">
        <f>IFERROR(_xlfn.CONCAT(_xlfn.TEXTSPLIT(SUBSTITUTE(SUBSTITUTE(LOWER(Q248),"æ","ae"), " de ", " "),{"b. ","ss. ","s. ","ss.mi ","in ",".",","," et","sanctae ","ę","ũ"})), "")</f>
        <v>rosae lima virginis</v>
      </c>
      <c r="K248" s="6">
        <f t="shared" si="37"/>
        <v>6</v>
      </c>
      <c r="L248" s="6" t="str">
        <f t="shared" si="38"/>
        <v>limavirginis</v>
      </c>
      <c r="M248" s="6"/>
      <c r="N248" s="1">
        <v>45892</v>
      </c>
      <c r="O248" s="3" t="s">
        <v>471</v>
      </c>
      <c r="P248" s="4" t="s">
        <v>9</v>
      </c>
      <c r="Q248" s="2" t="s">
        <v>226</v>
      </c>
      <c r="R248" s="9" t="s">
        <v>720</v>
      </c>
      <c r="S248" s="2" t="s">
        <v>345</v>
      </c>
    </row>
    <row r="249" spans="1:19" ht="14.4" customHeight="1" x14ac:dyDescent="0.3">
      <c r="A249" s="7" t="str">
        <f t="shared" si="30"/>
        <v>fix.0824.071.barap</v>
      </c>
      <c r="B249" s="7" t="str">
        <f t="shared" si="31"/>
        <v>071</v>
      </c>
      <c r="C249" s="8" t="str">
        <f t="shared" si="32"/>
        <v xml:space="preserve">S. Bartholomæi, apostoli </v>
      </c>
      <c r="D249" s="8" t="str">
        <f t="shared" si="32"/>
        <v xml:space="preserve">St. Bartholomew, Apostle </v>
      </c>
      <c r="E249" s="8" t="str">
        <f t="shared" si="33"/>
        <v>성 바르톨로메오 사도 축일</v>
      </c>
      <c r="F249" s="7" t="s">
        <v>578</v>
      </c>
      <c r="G249" s="7" t="str">
        <f t="shared" si="34"/>
        <v>0824</v>
      </c>
      <c r="H249" s="7" t="str">
        <f t="shared" si="35"/>
        <v>071</v>
      </c>
      <c r="I249" s="7" t="str">
        <f t="shared" si="36"/>
        <v>barap</v>
      </c>
      <c r="J249" s="6" t="str">
        <f>IFERROR(_xlfn.CONCAT(_xlfn.TEXTSPLIT(SUBSTITUTE(SUBSTITUTE(LOWER(Q249),"æ","ae"), " de ", " "),{"b. ","ss. ","s. ","ss.mi ","in ",".",","," et","sanctae ","ę","ũ"})), "")</f>
        <v xml:space="preserve">bartholomaei apostoli </v>
      </c>
      <c r="K249" s="6">
        <f t="shared" si="37"/>
        <v>13</v>
      </c>
      <c r="L249" s="6" t="str">
        <f t="shared" si="38"/>
        <v>apostoli</v>
      </c>
      <c r="M249" s="6"/>
      <c r="N249" s="1">
        <v>45893</v>
      </c>
      <c r="O249" s="3" t="s">
        <v>463</v>
      </c>
      <c r="P249" s="4" t="s">
        <v>20</v>
      </c>
      <c r="Q249" s="2" t="s">
        <v>227</v>
      </c>
      <c r="R249" s="9" t="s">
        <v>721</v>
      </c>
      <c r="S249" s="2" t="s">
        <v>346</v>
      </c>
    </row>
    <row r="250" spans="1:19" ht="14.4" customHeight="1" x14ac:dyDescent="0.3">
      <c r="A250" s="7" t="str">
        <f t="shared" si="30"/>
        <v>fix.0825.121.ludov</v>
      </c>
      <c r="B250" s="7" t="str">
        <f t="shared" si="31"/>
        <v>121</v>
      </c>
      <c r="C250" s="8" t="str">
        <f t="shared" si="32"/>
        <v>S. Ludovici</v>
      </c>
      <c r="D250" s="8" t="str">
        <f t="shared" si="32"/>
        <v>St. Louis</v>
      </c>
      <c r="E250" s="8" t="str">
        <f t="shared" si="33"/>
        <v>성 루도비코</v>
      </c>
      <c r="F250" s="7" t="s">
        <v>578</v>
      </c>
      <c r="G250" s="7" t="str">
        <f t="shared" si="34"/>
        <v>0825</v>
      </c>
      <c r="H250" s="7" t="str">
        <f t="shared" si="35"/>
        <v>121</v>
      </c>
      <c r="I250" s="7" t="str">
        <f t="shared" si="36"/>
        <v>ludov</v>
      </c>
      <c r="J250" s="6" t="str">
        <f>IFERROR(_xlfn.CONCAT(_xlfn.TEXTSPLIT(SUBSTITUTE(SUBSTITUTE(LOWER(Q250),"æ","ae"), " de ", " "),{"b. ","ss. ","s. ","ss.mi ","in ",".",","," et","sanctae ","ę","ũ"})), "")</f>
        <v>ludovici</v>
      </c>
      <c r="K250" s="6" t="str">
        <f t="shared" si="37"/>
        <v/>
      </c>
      <c r="L250" s="6" t="str">
        <f t="shared" si="38"/>
        <v/>
      </c>
      <c r="M250" s="6"/>
      <c r="N250" s="1">
        <v>45894</v>
      </c>
      <c r="O250" s="3" t="s">
        <v>471</v>
      </c>
      <c r="P250" s="4" t="s">
        <v>9</v>
      </c>
      <c r="Q250" s="2" t="s">
        <v>228</v>
      </c>
      <c r="R250" s="9" t="s">
        <v>722</v>
      </c>
      <c r="S250" s="2" t="s">
        <v>347</v>
      </c>
    </row>
    <row r="251" spans="1:19" ht="14.4" customHeight="1" x14ac:dyDescent="0.3">
      <c r="A251" s="7" t="str">
        <f t="shared" si="30"/>
        <v>fix.0825.121.iosca</v>
      </c>
      <c r="B251" s="7" t="str">
        <f t="shared" si="31"/>
        <v>121</v>
      </c>
      <c r="C251" s="8" t="str">
        <f t="shared" si="32"/>
        <v>S. Iosephi de Calasanz, presbyteri</v>
      </c>
      <c r="D251" s="8" t="str">
        <f t="shared" si="32"/>
        <v>St. Joseph Calasanz, Priest</v>
      </c>
      <c r="E251" s="8" t="str">
        <f t="shared" si="33"/>
        <v>성 요셉 데 갈라산즈 사제</v>
      </c>
      <c r="F251" s="7" t="s">
        <v>578</v>
      </c>
      <c r="G251" s="7" t="str">
        <f t="shared" si="34"/>
        <v>0825</v>
      </c>
      <c r="H251" s="7" t="str">
        <f t="shared" si="35"/>
        <v>121</v>
      </c>
      <c r="I251" s="7" t="str">
        <f t="shared" si="36"/>
        <v>iosca</v>
      </c>
      <c r="J251" s="6" t="str">
        <f>IFERROR(_xlfn.CONCAT(_xlfn.TEXTSPLIT(SUBSTITUTE(SUBSTITUTE(LOWER(Q251),"æ","ae"), " de ", " "),{"b. ","ss. ","s. ","ss.mi ","in ",".",","," et","sanctae ","ę","ũ"})), "")</f>
        <v>iosephi calasanz presbyteri</v>
      </c>
      <c r="K251" s="6">
        <f t="shared" si="37"/>
        <v>8</v>
      </c>
      <c r="L251" s="6" t="str">
        <f t="shared" si="38"/>
        <v>calasanzpresbyteri</v>
      </c>
      <c r="M251" s="6"/>
      <c r="N251" s="1">
        <v>45894</v>
      </c>
      <c r="O251" s="3" t="s">
        <v>471</v>
      </c>
      <c r="P251" s="4" t="s">
        <v>9</v>
      </c>
      <c r="Q251" s="2" t="s">
        <v>229</v>
      </c>
      <c r="R251" s="9" t="s">
        <v>723</v>
      </c>
      <c r="S251" s="2" t="s">
        <v>348</v>
      </c>
    </row>
    <row r="252" spans="1:19" ht="14.4" customHeight="1" x14ac:dyDescent="0.3">
      <c r="A252" s="7" t="str">
        <f t="shared" si="30"/>
        <v/>
      </c>
      <c r="B252" s="7" t="str">
        <f t="shared" si="31"/>
        <v/>
      </c>
      <c r="C252" s="8" t="str">
        <f t="shared" si="32"/>
        <v/>
      </c>
      <c r="D252" s="8" t="str">
        <f t="shared" si="32"/>
        <v/>
      </c>
      <c r="E252" s="8" t="str">
        <f t="shared" si="33"/>
        <v/>
      </c>
      <c r="F252" s="7" t="s">
        <v>578</v>
      </c>
      <c r="G252" s="7" t="str">
        <f t="shared" si="34"/>
        <v>0826</v>
      </c>
      <c r="H252" s="7" t="str">
        <f t="shared" si="35"/>
        <v/>
      </c>
      <c r="I252" s="7" t="str">
        <f t="shared" si="36"/>
        <v/>
      </c>
      <c r="J252" s="6" t="str">
        <f>IFERROR(_xlfn.CONCAT(_xlfn.TEXTSPLIT(SUBSTITUTE(SUBSTITUTE(LOWER(Q252),"æ","ae"), " de ", " "),{"b. ","ss. ","s. ","ss.mi ","in ",".",","," et","sanctae ","ę","ũ"})), "")</f>
        <v/>
      </c>
      <c r="K252" s="6" t="str">
        <f t="shared" si="37"/>
        <v/>
      </c>
      <c r="L252" s="6" t="str">
        <f t="shared" si="38"/>
        <v/>
      </c>
      <c r="M252" s="6"/>
      <c r="N252" s="1">
        <v>45895</v>
      </c>
    </row>
    <row r="253" spans="1:19" ht="14.4" customHeight="1" x14ac:dyDescent="0.3">
      <c r="A253" s="7" t="str">
        <f t="shared" si="30"/>
        <v>fix.0827.101.mon</v>
      </c>
      <c r="B253" s="7" t="str">
        <f t="shared" si="31"/>
        <v>101</v>
      </c>
      <c r="C253" s="8" t="str">
        <f t="shared" si="32"/>
        <v xml:space="preserve">S. Monicæ </v>
      </c>
      <c r="D253" s="8" t="str">
        <f t="shared" si="32"/>
        <v xml:space="preserve">St. Monica </v>
      </c>
      <c r="E253" s="8" t="str">
        <f t="shared" si="33"/>
        <v>성녀 모니카 기념일</v>
      </c>
      <c r="F253" s="7" t="s">
        <v>578</v>
      </c>
      <c r="G253" s="7" t="str">
        <f t="shared" si="34"/>
        <v>0827</v>
      </c>
      <c r="H253" s="7" t="str">
        <f t="shared" si="35"/>
        <v>101</v>
      </c>
      <c r="I253" s="7" t="str">
        <f t="shared" si="36"/>
        <v>mon</v>
      </c>
      <c r="J253" s="6" t="str">
        <f>IFERROR(_xlfn.CONCAT(_xlfn.TEXTSPLIT(SUBSTITUTE(SUBSTITUTE(LOWER(Q253),"æ","ae"), " de ", " "),{"b. ","ss. ","s. ","ss.mi ","in ",".",","," et","sanctae ","ę","ũ"})), "")</f>
        <v xml:space="preserve">monicae </v>
      </c>
      <c r="K253" s="6">
        <f t="shared" si="37"/>
        <v>8</v>
      </c>
      <c r="L253" s="6" t="str">
        <f t="shared" si="38"/>
        <v/>
      </c>
      <c r="M253" s="6"/>
      <c r="N253" s="1">
        <v>45896</v>
      </c>
      <c r="O253" s="3">
        <v>101</v>
      </c>
      <c r="P253" s="4" t="s">
        <v>8</v>
      </c>
      <c r="Q253" s="2" t="s">
        <v>230</v>
      </c>
      <c r="R253" s="9" t="s">
        <v>724</v>
      </c>
      <c r="S253" s="2" t="s">
        <v>349</v>
      </c>
    </row>
    <row r="254" spans="1:19" ht="14.4" customHeight="1" x14ac:dyDescent="0.3">
      <c r="A254" s="7" t="str">
        <f t="shared" si="30"/>
        <v>fix.0828.101.augep</v>
      </c>
      <c r="B254" s="7" t="str">
        <f t="shared" si="31"/>
        <v>101</v>
      </c>
      <c r="C254" s="8" t="str">
        <f t="shared" si="32"/>
        <v xml:space="preserve">S. Augustini, episcopi et Ecclesiæ doctoris </v>
      </c>
      <c r="D254" s="8" t="str">
        <f t="shared" si="32"/>
        <v xml:space="preserve">St. Augustine, Bishop and Doctor of the Church </v>
      </c>
      <c r="E254" s="8" t="str">
        <f t="shared" si="33"/>
        <v>성 아우구스티노 주교 학자 기념일</v>
      </c>
      <c r="F254" s="7" t="s">
        <v>578</v>
      </c>
      <c r="G254" s="7" t="str">
        <f t="shared" si="34"/>
        <v>0828</v>
      </c>
      <c r="H254" s="7" t="str">
        <f t="shared" si="35"/>
        <v>101</v>
      </c>
      <c r="I254" s="7" t="str">
        <f t="shared" si="36"/>
        <v>augep</v>
      </c>
      <c r="J254" s="6" t="str">
        <f>IFERROR(_xlfn.CONCAT(_xlfn.TEXTSPLIT(SUBSTITUTE(SUBSTITUTE(LOWER(Q254),"æ","ae"), " de ", " "),{"b. ","ss. ","s. ","ss.mi ","in ",".",","," et","sanctae ","ę","ũ"})), "")</f>
        <v xml:space="preserve">augustini episcopi ecclesiae doctoris </v>
      </c>
      <c r="K254" s="6">
        <f t="shared" si="37"/>
        <v>10</v>
      </c>
      <c r="L254" s="6" t="str">
        <f t="shared" si="38"/>
        <v>episcopiecclesiaedoctoris</v>
      </c>
      <c r="M254" s="6"/>
      <c r="N254" s="1">
        <v>45897</v>
      </c>
      <c r="O254" s="3">
        <v>101</v>
      </c>
      <c r="P254" s="4" t="s">
        <v>8</v>
      </c>
      <c r="Q254" s="2" t="s">
        <v>231</v>
      </c>
      <c r="R254" s="9" t="s">
        <v>725</v>
      </c>
      <c r="S254" s="2" t="s">
        <v>350</v>
      </c>
    </row>
    <row r="255" spans="1:19" ht="14.4" customHeight="1" x14ac:dyDescent="0.3">
      <c r="A255" s="7" t="str">
        <f t="shared" si="30"/>
        <v>fix.0829.101.pasio</v>
      </c>
      <c r="B255" s="7" t="str">
        <f t="shared" si="31"/>
        <v>101</v>
      </c>
      <c r="C255" s="8" t="str">
        <f t="shared" si="32"/>
        <v xml:space="preserve">In Passione S. Ioannis Baptistæ, martyris </v>
      </c>
      <c r="D255" s="8" t="str">
        <f t="shared" si="32"/>
        <v xml:space="preserve">The Passion of St. John the Baptist </v>
      </c>
      <c r="E255" s="8" t="str">
        <f t="shared" si="33"/>
        <v>성 요한 세례자의 수난 기념일</v>
      </c>
      <c r="F255" s="7" t="s">
        <v>578</v>
      </c>
      <c r="G255" s="7" t="str">
        <f t="shared" si="34"/>
        <v>0829</v>
      </c>
      <c r="H255" s="7" t="str">
        <f t="shared" si="35"/>
        <v>101</v>
      </c>
      <c r="I255" s="7" t="str">
        <f t="shared" si="36"/>
        <v>pasio</v>
      </c>
      <c r="J255" s="6" t="str">
        <f>IFERROR(_xlfn.CONCAT(_xlfn.TEXTSPLIT(SUBSTITUTE(SUBSTITUTE(LOWER(Q255),"æ","ae"), " de ", " "),{"b. ","ss. ","s. ","ss.mi ","in ",".",","," et","sanctae ","ę","ũ"})), "")</f>
        <v xml:space="preserve">passione ioannis baptistae martyris </v>
      </c>
      <c r="K255" s="6">
        <f t="shared" si="37"/>
        <v>9</v>
      </c>
      <c r="L255" s="6" t="str">
        <f t="shared" si="38"/>
        <v>ioannisbaptistaemartyris</v>
      </c>
      <c r="M255" s="6"/>
      <c r="N255" s="1">
        <v>45898</v>
      </c>
      <c r="O255" s="3">
        <v>101</v>
      </c>
      <c r="P255" s="4" t="s">
        <v>8</v>
      </c>
      <c r="Q255" s="2" t="s">
        <v>232</v>
      </c>
      <c r="R255" s="9" t="s">
        <v>726</v>
      </c>
      <c r="S255" s="2" t="s">
        <v>351</v>
      </c>
    </row>
    <row r="256" spans="1:19" ht="14.4" customHeight="1" x14ac:dyDescent="0.3">
      <c r="A256" s="7" t="str">
        <f t="shared" si="30"/>
        <v/>
      </c>
      <c r="B256" s="7" t="str">
        <f t="shared" si="31"/>
        <v/>
      </c>
      <c r="C256" s="8" t="str">
        <f t="shared" si="32"/>
        <v/>
      </c>
      <c r="D256" s="8" t="str">
        <f t="shared" si="32"/>
        <v/>
      </c>
      <c r="E256" s="8" t="str">
        <f t="shared" si="33"/>
        <v/>
      </c>
      <c r="F256" s="7" t="s">
        <v>578</v>
      </c>
      <c r="G256" s="7" t="str">
        <f t="shared" si="34"/>
        <v>0830</v>
      </c>
      <c r="H256" s="7" t="str">
        <f t="shared" si="35"/>
        <v/>
      </c>
      <c r="I256" s="7" t="str">
        <f t="shared" si="36"/>
        <v/>
      </c>
      <c r="J256" s="6" t="str">
        <f>IFERROR(_xlfn.CONCAT(_xlfn.TEXTSPLIT(SUBSTITUTE(SUBSTITUTE(LOWER(Q256),"æ","ae"), " de ", " "),{"b. ","ss. ","s. ","ss.mi ","in ",".",","," et","sanctae ","ę","ũ"})), "")</f>
        <v/>
      </c>
      <c r="K256" s="6" t="str">
        <f t="shared" si="37"/>
        <v/>
      </c>
      <c r="L256" s="6" t="str">
        <f t="shared" si="38"/>
        <v/>
      </c>
      <c r="M256" s="6"/>
      <c r="N256" s="1">
        <v>45899</v>
      </c>
    </row>
    <row r="257" spans="1:20" ht="14.4" customHeight="1" x14ac:dyDescent="0.3">
      <c r="A257" s="7" t="str">
        <f t="shared" si="30"/>
        <v/>
      </c>
      <c r="B257" s="7" t="str">
        <f t="shared" si="31"/>
        <v/>
      </c>
      <c r="C257" s="8" t="str">
        <f t="shared" si="32"/>
        <v/>
      </c>
      <c r="D257" s="8" t="str">
        <f t="shared" si="32"/>
        <v/>
      </c>
      <c r="E257" s="8" t="str">
        <f t="shared" si="33"/>
        <v/>
      </c>
      <c r="F257" s="7" t="s">
        <v>578</v>
      </c>
      <c r="G257" s="7" t="str">
        <f t="shared" si="34"/>
        <v>0831</v>
      </c>
      <c r="H257" s="7" t="str">
        <f t="shared" si="35"/>
        <v/>
      </c>
      <c r="I257" s="7" t="str">
        <f t="shared" si="36"/>
        <v/>
      </c>
      <c r="J257" s="6" t="str">
        <f>IFERROR(_xlfn.CONCAT(_xlfn.TEXTSPLIT(SUBSTITUTE(SUBSTITUTE(LOWER(Q257),"æ","ae"), " de ", " "),{"b. ","ss. ","s. ","ss.mi ","in ",".",","," et","sanctae ","ę","ũ"})), "")</f>
        <v/>
      </c>
      <c r="K257" s="6" t="str">
        <f t="shared" si="37"/>
        <v/>
      </c>
      <c r="L257" s="6" t="str">
        <f t="shared" si="38"/>
        <v/>
      </c>
      <c r="M257" s="6"/>
      <c r="N257" s="1">
        <v>45900</v>
      </c>
    </row>
    <row r="258" spans="1:20" ht="14.4" customHeight="1" x14ac:dyDescent="0.3">
      <c r="A258" s="7" t="str">
        <f t="shared" si="30"/>
        <v/>
      </c>
      <c r="B258" s="7" t="str">
        <f t="shared" si="31"/>
        <v/>
      </c>
      <c r="C258" s="8" t="str">
        <f t="shared" si="32"/>
        <v/>
      </c>
      <c r="D258" s="8" t="str">
        <f t="shared" si="32"/>
        <v/>
      </c>
      <c r="E258" s="8" t="str">
        <f t="shared" si="33"/>
        <v/>
      </c>
      <c r="F258" s="7" t="s">
        <v>578</v>
      </c>
      <c r="G258" s="7" t="str">
        <f t="shared" si="34"/>
        <v>0901</v>
      </c>
      <c r="H258" s="7" t="str">
        <f t="shared" si="35"/>
        <v/>
      </c>
      <c r="I258" s="7" t="str">
        <f t="shared" si="36"/>
        <v/>
      </c>
      <c r="J258" s="6" t="str">
        <f>IFERROR(_xlfn.CONCAT(_xlfn.TEXTSPLIT(SUBSTITUTE(SUBSTITUTE(LOWER(Q258),"æ","ae"), " de ", " "),{"b. ","ss. ","s. ","ss.mi ","in ",".",","," et","sanctae ","ę","ũ"})), "")</f>
        <v/>
      </c>
      <c r="K258" s="6" t="str">
        <f t="shared" si="37"/>
        <v/>
      </c>
      <c r="L258" s="6" t="str">
        <f t="shared" si="38"/>
        <v/>
      </c>
      <c r="M258" s="6"/>
      <c r="N258" s="1">
        <v>45901</v>
      </c>
    </row>
    <row r="259" spans="1:20" ht="14.4" customHeight="1" x14ac:dyDescent="0.3">
      <c r="A259" s="7" t="str">
        <f t="shared" ref="A259:A322" si="39">IF(OR(F259="",G259="",H259="",I259=""),"",_xlfn.CONCAT(F259,".",G259,".",H259,".",I259))</f>
        <v/>
      </c>
      <c r="B259" s="7" t="str">
        <f t="shared" si="31"/>
        <v/>
      </c>
      <c r="C259" s="8" t="str">
        <f t="shared" si="32"/>
        <v/>
      </c>
      <c r="D259" s="8" t="str">
        <f t="shared" si="32"/>
        <v/>
      </c>
      <c r="E259" s="8" t="str">
        <f t="shared" si="33"/>
        <v/>
      </c>
      <c r="F259" s="7" t="s">
        <v>578</v>
      </c>
      <c r="G259" s="7" t="str">
        <f t="shared" si="34"/>
        <v>0902</v>
      </c>
      <c r="H259" s="7" t="str">
        <f t="shared" si="35"/>
        <v/>
      </c>
      <c r="I259" s="7" t="str">
        <f t="shared" si="36"/>
        <v/>
      </c>
      <c r="J259" s="6" t="str">
        <f>IFERROR(_xlfn.CONCAT(_xlfn.TEXTSPLIT(SUBSTITUTE(SUBSTITUTE(LOWER(Q259),"æ","ae"), " de ", " "),{"b. ","ss. ","s. ","ss.mi ","in ",".",","," et","sanctae ","ę","ũ"})), "")</f>
        <v/>
      </c>
      <c r="K259" s="6" t="str">
        <f t="shared" si="37"/>
        <v/>
      </c>
      <c r="L259" s="6" t="str">
        <f t="shared" si="38"/>
        <v/>
      </c>
      <c r="M259" s="6"/>
      <c r="N259" s="1">
        <v>45902</v>
      </c>
    </row>
    <row r="260" spans="1:20" ht="14.4" customHeight="1" x14ac:dyDescent="0.3">
      <c r="A260" s="7" t="str">
        <f t="shared" si="39"/>
        <v>fix.0903.101.grema</v>
      </c>
      <c r="B260" s="7" t="str">
        <f t="shared" ref="B260:B323" si="40">IF(O260="","",TEXT(O260,"0##"))</f>
        <v>101</v>
      </c>
      <c r="C260" s="8" t="str">
        <f t="shared" ref="C260:D323" si="41">IF(Q260="","",TEXT(Q260,""))</f>
        <v>S. Gregorii Magni, papæ et Ecclesiæ doctoris</v>
      </c>
      <c r="D260" s="8" t="str">
        <f t="shared" si="41"/>
        <v xml:space="preserve">St. Gregory the Great, Pope and Doctor of the Church </v>
      </c>
      <c r="E260" s="8" t="str">
        <f t="shared" ref="E260:E323" si="42">IF(S260="","",TEXT(S260,""))</f>
        <v>성 대 그레고리오 교황 학자 기념일</v>
      </c>
      <c r="F260" s="7" t="s">
        <v>578</v>
      </c>
      <c r="G260" s="7" t="str">
        <f t="shared" ref="G260:G323" si="43">TEXT(N260, "mmdd")</f>
        <v>0903</v>
      </c>
      <c r="H260" s="7" t="str">
        <f t="shared" ref="H260:H323" si="44">IF(ISBLANK(O260), "", TEXT(O260, "0##"))</f>
        <v>101</v>
      </c>
      <c r="I260" s="7" t="str">
        <f t="shared" ref="I260:I323" si="45">IF(J260="","",IF(K260="",LEFT(J260,5),IF(K260&lt;4,_xlfn.CONCAT(LEFT(J260,K260-1),LEFT(L260,5-K260+1)),_xlfn.CONCAT(LEFT(J260,3),LEFT(L260,2)))))</f>
        <v>grema</v>
      </c>
      <c r="J260" s="6" t="str">
        <f>IFERROR(_xlfn.CONCAT(_xlfn.TEXTSPLIT(SUBSTITUTE(SUBSTITUTE(LOWER(Q260),"æ","ae"), " de ", " "),{"b. ","ss. ","s. ","ss.mi ","in ",".",","," et","sanctae ","ę","ũ"})), "")</f>
        <v>gregorii magni papae ecclesiae doctoris</v>
      </c>
      <c r="K260" s="6">
        <f t="shared" ref="K260:K323" si="46">IFERROR(FIND(" ", J260), "")</f>
        <v>9</v>
      </c>
      <c r="L260" s="6" t="str">
        <f t="shared" ref="L260:L323" si="47">SUBSTITUTE(IFERROR(RIGHT(J260, LEN(J260)-K260), ""), " ", "")</f>
        <v>magnipapaeecclesiaedoctoris</v>
      </c>
      <c r="M260" s="6"/>
      <c r="N260" s="1">
        <v>45903</v>
      </c>
      <c r="O260" s="3">
        <v>101</v>
      </c>
      <c r="P260" s="4" t="s">
        <v>8</v>
      </c>
      <c r="Q260" s="2" t="s">
        <v>233</v>
      </c>
      <c r="R260" s="9" t="s">
        <v>727</v>
      </c>
      <c r="S260" s="2" t="s">
        <v>352</v>
      </c>
    </row>
    <row r="261" spans="1:20" ht="14.4" customHeight="1" x14ac:dyDescent="0.3">
      <c r="A261" s="7" t="str">
        <f t="shared" si="39"/>
        <v/>
      </c>
      <c r="B261" s="7" t="str">
        <f t="shared" si="40"/>
        <v/>
      </c>
      <c r="C261" s="8" t="str">
        <f t="shared" si="41"/>
        <v/>
      </c>
      <c r="D261" s="8" t="str">
        <f t="shared" si="41"/>
        <v/>
      </c>
      <c r="E261" s="8" t="str">
        <f t="shared" si="42"/>
        <v/>
      </c>
      <c r="F261" s="7" t="s">
        <v>578</v>
      </c>
      <c r="G261" s="7" t="str">
        <f t="shared" si="43"/>
        <v>0904</v>
      </c>
      <c r="H261" s="7" t="str">
        <f t="shared" si="44"/>
        <v/>
      </c>
      <c r="I261" s="7" t="str">
        <f t="shared" si="45"/>
        <v/>
      </c>
      <c r="J261" s="6" t="str">
        <f>IFERROR(_xlfn.CONCAT(_xlfn.TEXTSPLIT(SUBSTITUTE(SUBSTITUTE(LOWER(Q261),"æ","ae"), " de ", " "),{"b. ","ss. ","s. ","ss.mi ","in ",".",","," et","sanctae ","ę","ũ"})), "")</f>
        <v/>
      </c>
      <c r="K261" s="6" t="str">
        <f t="shared" si="46"/>
        <v/>
      </c>
      <c r="L261" s="6" t="str">
        <f t="shared" si="47"/>
        <v/>
      </c>
      <c r="M261" s="6"/>
      <c r="N261" s="1">
        <v>45904</v>
      </c>
    </row>
    <row r="262" spans="1:20" ht="14.4" customHeight="1" x14ac:dyDescent="0.3">
      <c r="A262" s="7" t="str">
        <f t="shared" si="39"/>
        <v>fix.0905.121.terca</v>
      </c>
      <c r="B262" s="7" t="str">
        <f t="shared" si="40"/>
        <v>121</v>
      </c>
      <c r="C262" s="8" t="str">
        <f t="shared" si="41"/>
        <v>S. Teresiæ de Calcutta, virginis</v>
      </c>
      <c r="D262" s="8" t="str">
        <f t="shared" si="41"/>
        <v/>
      </c>
      <c r="E262" s="8" t="str">
        <f t="shared" si="42"/>
        <v>캘커타의 성녀 데레사 동정</v>
      </c>
      <c r="F262" s="7" t="s">
        <v>578</v>
      </c>
      <c r="G262" s="7" t="str">
        <f t="shared" si="43"/>
        <v>0905</v>
      </c>
      <c r="H262" s="7" t="str">
        <f t="shared" si="44"/>
        <v>121</v>
      </c>
      <c r="I262" s="7" t="str">
        <f t="shared" si="45"/>
        <v>terca</v>
      </c>
      <c r="J262" s="6" t="str">
        <f>IFERROR(_xlfn.CONCAT(_xlfn.TEXTSPLIT(SUBSTITUTE(SUBSTITUTE(LOWER(Q262),"æ","ae"), " de ", " "),{"b. ","ss. ","s. ","ss.mi ","in ",".",","," et","sanctae ","ę","ũ"})), "")</f>
        <v>teresiae calcutta virginis</v>
      </c>
      <c r="K262" s="6">
        <f t="shared" si="46"/>
        <v>9</v>
      </c>
      <c r="L262" s="6" t="str">
        <f t="shared" si="47"/>
        <v>calcuttavirginis</v>
      </c>
      <c r="M262" s="6"/>
      <c r="N262" s="1">
        <v>45905</v>
      </c>
      <c r="O262" s="3" t="s">
        <v>471</v>
      </c>
      <c r="P262" s="4" t="s">
        <v>9</v>
      </c>
      <c r="Q262" s="2" t="s">
        <v>581</v>
      </c>
      <c r="S262" s="2" t="s">
        <v>455</v>
      </c>
      <c r="T262" t="s">
        <v>445</v>
      </c>
    </row>
    <row r="263" spans="1:20" ht="14.4" customHeight="1" x14ac:dyDescent="0.3">
      <c r="A263" s="7" t="str">
        <f t="shared" si="39"/>
        <v/>
      </c>
      <c r="B263" s="7" t="str">
        <f t="shared" si="40"/>
        <v/>
      </c>
      <c r="C263" s="8" t="str">
        <f t="shared" si="41"/>
        <v/>
      </c>
      <c r="D263" s="8" t="str">
        <f t="shared" si="41"/>
        <v/>
      </c>
      <c r="E263" s="8" t="str">
        <f t="shared" si="42"/>
        <v/>
      </c>
      <c r="F263" s="7" t="s">
        <v>578</v>
      </c>
      <c r="G263" s="7" t="str">
        <f t="shared" si="43"/>
        <v>0906</v>
      </c>
      <c r="H263" s="7" t="str">
        <f t="shared" si="44"/>
        <v/>
      </c>
      <c r="I263" s="7" t="str">
        <f t="shared" si="45"/>
        <v/>
      </c>
      <c r="J263" s="6" t="str">
        <f>IFERROR(_xlfn.CONCAT(_xlfn.TEXTSPLIT(SUBSTITUTE(SUBSTITUTE(LOWER(Q263),"æ","ae"), " de ", " "),{"b. ","ss. ","s. ","ss.mi ","in ",".",","," et","sanctae ","ę","ũ"})), "")</f>
        <v/>
      </c>
      <c r="K263" s="6" t="str">
        <f t="shared" si="46"/>
        <v/>
      </c>
      <c r="L263" s="6" t="str">
        <f t="shared" si="47"/>
        <v/>
      </c>
      <c r="M263" s="6"/>
      <c r="N263" s="1">
        <v>45906</v>
      </c>
    </row>
    <row r="264" spans="1:20" ht="14.4" customHeight="1" x14ac:dyDescent="0.3">
      <c r="A264" s="7" t="str">
        <f t="shared" si="39"/>
        <v/>
      </c>
      <c r="B264" s="7" t="str">
        <f t="shared" si="40"/>
        <v/>
      </c>
      <c r="C264" s="8" t="str">
        <f t="shared" si="41"/>
        <v/>
      </c>
      <c r="D264" s="8" t="str">
        <f t="shared" si="41"/>
        <v/>
      </c>
      <c r="E264" s="8" t="str">
        <f t="shared" si="42"/>
        <v/>
      </c>
      <c r="F264" s="7" t="s">
        <v>578</v>
      </c>
      <c r="G264" s="7" t="str">
        <f t="shared" si="43"/>
        <v>0907</v>
      </c>
      <c r="H264" s="7" t="str">
        <f t="shared" si="44"/>
        <v/>
      </c>
      <c r="I264" s="7" t="str">
        <f t="shared" si="45"/>
        <v/>
      </c>
      <c r="J264" s="6" t="str">
        <f>IFERROR(_xlfn.CONCAT(_xlfn.TEXTSPLIT(SUBSTITUTE(SUBSTITUTE(LOWER(Q264),"æ","ae"), " de ", " "),{"b. ","ss. ","s. ","ss.mi ","in ",".",","," et","sanctae ","ę","ũ"})), "")</f>
        <v/>
      </c>
      <c r="K264" s="6" t="str">
        <f t="shared" si="46"/>
        <v/>
      </c>
      <c r="L264" s="6" t="str">
        <f t="shared" si="47"/>
        <v/>
      </c>
      <c r="M264" s="6"/>
      <c r="N264" s="1">
        <v>45907</v>
      </c>
    </row>
    <row r="265" spans="1:20" ht="14.4" customHeight="1" x14ac:dyDescent="0.3">
      <c r="A265" s="7" t="str">
        <f t="shared" si="39"/>
        <v>fix.0908.071.natma</v>
      </c>
      <c r="B265" s="7" t="str">
        <f t="shared" si="40"/>
        <v>071</v>
      </c>
      <c r="C265" s="8" t="str">
        <f t="shared" si="41"/>
        <v>In Nativitate B. Mariæ Virginis</v>
      </c>
      <c r="D265" s="8" t="str">
        <f t="shared" si="41"/>
        <v xml:space="preserve">The Nativity of the Blessed Virgin Mary </v>
      </c>
      <c r="E265" s="8" t="str">
        <f t="shared" si="42"/>
        <v>복되신 동정 마리아 탄생 축일</v>
      </c>
      <c r="F265" s="7" t="s">
        <v>578</v>
      </c>
      <c r="G265" s="7" t="str">
        <f t="shared" si="43"/>
        <v>0908</v>
      </c>
      <c r="H265" s="7" t="str">
        <f t="shared" si="44"/>
        <v>071</v>
      </c>
      <c r="I265" s="7" t="str">
        <f t="shared" si="45"/>
        <v>natma</v>
      </c>
      <c r="J265" s="6" t="str">
        <f>IFERROR(_xlfn.CONCAT(_xlfn.TEXTSPLIT(SUBSTITUTE(SUBSTITUTE(LOWER(Q265),"æ","ae"), " de ", " "),{"b. ","ss. ","s. ","ss.mi ","in ",".",","," et","sanctae ","ę","ũ"})), "")</f>
        <v>nativitate mariae virginis</v>
      </c>
      <c r="K265" s="6">
        <f t="shared" si="46"/>
        <v>11</v>
      </c>
      <c r="L265" s="6" t="str">
        <f t="shared" si="47"/>
        <v>mariaevirginis</v>
      </c>
      <c r="M265" s="6"/>
      <c r="N265" s="1">
        <v>45908</v>
      </c>
      <c r="O265" s="3" t="s">
        <v>463</v>
      </c>
      <c r="P265" s="4" t="s">
        <v>20</v>
      </c>
      <c r="Q265" s="2" t="s">
        <v>234</v>
      </c>
      <c r="R265" s="9" t="s">
        <v>728</v>
      </c>
      <c r="S265" s="2" t="s">
        <v>353</v>
      </c>
    </row>
    <row r="266" spans="1:20" ht="14.4" customHeight="1" x14ac:dyDescent="0.3">
      <c r="A266" s="7" t="str">
        <f t="shared" si="39"/>
        <v>fix.0909.121.petcl</v>
      </c>
      <c r="B266" s="7" t="str">
        <f t="shared" si="40"/>
        <v>121</v>
      </c>
      <c r="C266" s="8" t="str">
        <f t="shared" si="41"/>
        <v>S. Petri Claver, presbyteri</v>
      </c>
      <c r="D266" s="8" t="str">
        <f t="shared" si="41"/>
        <v xml:space="preserve">St. Peter Claver, Priest </v>
      </c>
      <c r="E266" s="8" t="str">
        <f t="shared" si="42"/>
        <v>성 베드로 클라베르 사제</v>
      </c>
      <c r="F266" s="7" t="s">
        <v>578</v>
      </c>
      <c r="G266" s="7" t="str">
        <f t="shared" si="43"/>
        <v>0909</v>
      </c>
      <c r="H266" s="7" t="str">
        <f t="shared" si="44"/>
        <v>121</v>
      </c>
      <c r="I266" s="7" t="str">
        <f t="shared" si="45"/>
        <v>petcl</v>
      </c>
      <c r="J266" s="6" t="str">
        <f>IFERROR(_xlfn.CONCAT(_xlfn.TEXTSPLIT(SUBSTITUTE(SUBSTITUTE(LOWER(Q266),"æ","ae"), " de ", " "),{"b. ","ss. ","s. ","ss.mi ","in ",".",","," et","sanctae ","ę","ũ"})), "")</f>
        <v>petri claver presbyteri</v>
      </c>
      <c r="K266" s="6">
        <f t="shared" si="46"/>
        <v>6</v>
      </c>
      <c r="L266" s="6" t="str">
        <f t="shared" si="47"/>
        <v>claverpresbyteri</v>
      </c>
      <c r="M266" s="6"/>
      <c r="N266" s="1">
        <v>45909</v>
      </c>
      <c r="O266" s="3" t="s">
        <v>471</v>
      </c>
      <c r="P266" s="4" t="s">
        <v>9</v>
      </c>
      <c r="Q266" s="2" t="s">
        <v>235</v>
      </c>
      <c r="R266" s="9" t="s">
        <v>729</v>
      </c>
      <c r="S266" s="2" t="s">
        <v>354</v>
      </c>
    </row>
    <row r="267" spans="1:20" ht="14.4" customHeight="1" x14ac:dyDescent="0.3">
      <c r="A267" s="7" t="str">
        <f t="shared" si="39"/>
        <v/>
      </c>
      <c r="B267" s="7" t="str">
        <f t="shared" si="40"/>
        <v/>
      </c>
      <c r="C267" s="8" t="str">
        <f t="shared" si="41"/>
        <v/>
      </c>
      <c r="D267" s="8" t="str">
        <f t="shared" si="41"/>
        <v/>
      </c>
      <c r="E267" s="8" t="str">
        <f t="shared" si="42"/>
        <v/>
      </c>
      <c r="F267" s="7" t="s">
        <v>578</v>
      </c>
      <c r="G267" s="7" t="str">
        <f t="shared" si="43"/>
        <v>0910</v>
      </c>
      <c r="H267" s="7" t="str">
        <f t="shared" si="44"/>
        <v/>
      </c>
      <c r="I267" s="7" t="str">
        <f t="shared" si="45"/>
        <v/>
      </c>
      <c r="J267" s="6" t="str">
        <f>IFERROR(_xlfn.CONCAT(_xlfn.TEXTSPLIT(SUBSTITUTE(SUBSTITUTE(LOWER(Q267),"æ","ae"), " de ", " "),{"b. ","ss. ","s. ","ss.mi ","in ",".",","," et","sanctae ","ę","ũ"})), "")</f>
        <v/>
      </c>
      <c r="K267" s="6" t="str">
        <f t="shared" si="46"/>
        <v/>
      </c>
      <c r="L267" s="6" t="str">
        <f t="shared" si="47"/>
        <v/>
      </c>
      <c r="M267" s="6"/>
      <c r="N267" s="1">
        <v>45910</v>
      </c>
    </row>
    <row r="268" spans="1:20" ht="14.4" customHeight="1" x14ac:dyDescent="0.3">
      <c r="A268" s="7" t="str">
        <f t="shared" si="39"/>
        <v/>
      </c>
      <c r="B268" s="7" t="str">
        <f t="shared" si="40"/>
        <v/>
      </c>
      <c r="C268" s="8" t="str">
        <f t="shared" si="41"/>
        <v/>
      </c>
      <c r="D268" s="8" t="str">
        <f t="shared" si="41"/>
        <v/>
      </c>
      <c r="E268" s="8" t="str">
        <f t="shared" si="42"/>
        <v/>
      </c>
      <c r="F268" s="7" t="s">
        <v>578</v>
      </c>
      <c r="G268" s="7" t="str">
        <f t="shared" si="43"/>
        <v>0911</v>
      </c>
      <c r="H268" s="7" t="str">
        <f t="shared" si="44"/>
        <v/>
      </c>
      <c r="I268" s="7" t="str">
        <f t="shared" si="45"/>
        <v/>
      </c>
      <c r="J268" s="6" t="str">
        <f>IFERROR(_xlfn.CONCAT(_xlfn.TEXTSPLIT(SUBSTITUTE(SUBSTITUTE(LOWER(Q268),"æ","ae"), " de ", " "),{"b. ","ss. ","s. ","ss.mi ","in ",".",","," et","sanctae ","ę","ũ"})), "")</f>
        <v/>
      </c>
      <c r="K268" s="6" t="str">
        <f t="shared" si="46"/>
        <v/>
      </c>
      <c r="L268" s="6" t="str">
        <f t="shared" si="47"/>
        <v/>
      </c>
      <c r="M268" s="6"/>
      <c r="N268" s="1">
        <v>45911</v>
      </c>
    </row>
    <row r="269" spans="1:20" ht="14.4" customHeight="1" x14ac:dyDescent="0.3">
      <c r="A269" s="7" t="str">
        <f t="shared" si="39"/>
        <v>fix.0912.121.nomma</v>
      </c>
      <c r="B269" s="7" t="str">
        <f t="shared" si="40"/>
        <v>121</v>
      </c>
      <c r="C269" s="8" t="str">
        <f t="shared" si="41"/>
        <v>Ss.mi Nominis Mariæ</v>
      </c>
      <c r="D269" s="8" t="str">
        <f t="shared" si="41"/>
        <v>The Most Holy Name of Mary</v>
      </c>
      <c r="E269" s="8" t="str">
        <f t="shared" si="42"/>
        <v>지극히 거룩하신 마리아 성명</v>
      </c>
      <c r="F269" s="7" t="s">
        <v>578</v>
      </c>
      <c r="G269" s="7" t="str">
        <f t="shared" si="43"/>
        <v>0912</v>
      </c>
      <c r="H269" s="7" t="str">
        <f t="shared" si="44"/>
        <v>121</v>
      </c>
      <c r="I269" s="7" t="str">
        <f t="shared" si="45"/>
        <v>nomma</v>
      </c>
      <c r="J269" s="6" t="str">
        <f>IFERROR(_xlfn.CONCAT(_xlfn.TEXTSPLIT(SUBSTITUTE(SUBSTITUTE(LOWER(Q269),"æ","ae"), " de ", " "),{"b. ","ss. ","s. ","ss.mi ","in ",".",","," et","sanctae ","ę","ũ"})), "")</f>
        <v>nominis mariae</v>
      </c>
      <c r="K269" s="6">
        <f t="shared" si="46"/>
        <v>8</v>
      </c>
      <c r="L269" s="6" t="str">
        <f t="shared" si="47"/>
        <v>mariae</v>
      </c>
      <c r="M269" s="6"/>
      <c r="N269" s="1">
        <v>45912</v>
      </c>
      <c r="O269" s="3" t="s">
        <v>471</v>
      </c>
      <c r="P269" s="4" t="s">
        <v>9</v>
      </c>
      <c r="Q269" s="2" t="s">
        <v>236</v>
      </c>
      <c r="R269" s="9" t="s">
        <v>730</v>
      </c>
      <c r="S269" s="2" t="s">
        <v>355</v>
      </c>
    </row>
    <row r="270" spans="1:20" ht="14.4" customHeight="1" x14ac:dyDescent="0.3">
      <c r="A270" s="7" t="str">
        <f t="shared" si="39"/>
        <v>fix.0913.101.ioach</v>
      </c>
      <c r="B270" s="7" t="str">
        <f t="shared" si="40"/>
        <v>101</v>
      </c>
      <c r="C270" s="8" t="str">
        <f t="shared" si="41"/>
        <v xml:space="preserve">S. Ioannis Chrysostomi, episcopi et Ecclesiæ doctoris </v>
      </c>
      <c r="D270" s="8" t="str">
        <f t="shared" si="41"/>
        <v xml:space="preserve">St. John Chrysostom, Bishop and Doctor of the Church </v>
      </c>
      <c r="E270" s="8" t="str">
        <f t="shared" si="42"/>
        <v>성 요한 크리소스토모 주교 학자 기념일</v>
      </c>
      <c r="F270" s="7" t="s">
        <v>578</v>
      </c>
      <c r="G270" s="7" t="str">
        <f t="shared" si="43"/>
        <v>0913</v>
      </c>
      <c r="H270" s="7" t="str">
        <f t="shared" si="44"/>
        <v>101</v>
      </c>
      <c r="I270" s="7" t="str">
        <f t="shared" si="45"/>
        <v>ioach</v>
      </c>
      <c r="J270" s="6" t="str">
        <f>IFERROR(_xlfn.CONCAT(_xlfn.TEXTSPLIT(SUBSTITUTE(SUBSTITUTE(LOWER(Q270),"æ","ae"), " de ", " "),{"b. ","ss. ","s. ","ss.mi ","in ",".",","," et","sanctae ","ę","ũ"})), "")</f>
        <v xml:space="preserve">ioannis chrysostomi episcopi ecclesiae doctoris </v>
      </c>
      <c r="K270" s="6">
        <f t="shared" si="46"/>
        <v>8</v>
      </c>
      <c r="L270" s="6" t="str">
        <f t="shared" si="47"/>
        <v>chrysostomiepiscopiecclesiaedoctoris</v>
      </c>
      <c r="M270" s="6"/>
      <c r="N270" s="1">
        <v>45913</v>
      </c>
      <c r="O270" s="3">
        <v>101</v>
      </c>
      <c r="P270" s="4" t="s">
        <v>8</v>
      </c>
      <c r="Q270" s="2" t="s">
        <v>237</v>
      </c>
      <c r="R270" s="9" t="s">
        <v>731</v>
      </c>
      <c r="S270" s="2" t="s">
        <v>356</v>
      </c>
    </row>
    <row r="271" spans="1:20" ht="14.4" customHeight="1" x14ac:dyDescent="0.3">
      <c r="A271" s="7" t="str">
        <f t="shared" si="39"/>
        <v>fix.0914.051.exacr</v>
      </c>
      <c r="B271" s="7" t="str">
        <f t="shared" si="40"/>
        <v>051</v>
      </c>
      <c r="C271" s="8" t="str">
        <f t="shared" si="41"/>
        <v xml:space="preserve">In Exaltatione sanctæ Crucis </v>
      </c>
      <c r="D271" s="8" t="str">
        <f t="shared" si="41"/>
        <v xml:space="preserve">The Exaltation of the Holy Cross </v>
      </c>
      <c r="E271" s="8" t="str">
        <f t="shared" si="42"/>
        <v>성 십자가 현양 축일</v>
      </c>
      <c r="F271" s="7" t="s">
        <v>578</v>
      </c>
      <c r="G271" s="7" t="str">
        <f t="shared" si="43"/>
        <v>0914</v>
      </c>
      <c r="H271" s="7" t="str">
        <f t="shared" si="44"/>
        <v>051</v>
      </c>
      <c r="I271" s="7" t="str">
        <f t="shared" si="45"/>
        <v>exacr</v>
      </c>
      <c r="J271" s="6" t="str">
        <f>IFERROR(_xlfn.CONCAT(_xlfn.TEXTSPLIT(SUBSTITUTE(SUBSTITUTE(LOWER(Q271),"æ","ae"), " de ", " "),{"b. ","ss. ","s. ","ss.mi ","in ",".",","," et","sanctae ","ę","ũ"})), "")</f>
        <v xml:space="preserve">exaltatione crucis </v>
      </c>
      <c r="K271" s="6">
        <f t="shared" si="46"/>
        <v>12</v>
      </c>
      <c r="L271" s="6" t="str">
        <f t="shared" si="47"/>
        <v>crucis</v>
      </c>
      <c r="M271" s="6"/>
      <c r="N271" s="1">
        <v>45914</v>
      </c>
      <c r="O271" s="3" t="s">
        <v>462</v>
      </c>
      <c r="P271" s="4" t="s">
        <v>20</v>
      </c>
      <c r="Q271" s="2" t="s">
        <v>238</v>
      </c>
      <c r="R271" s="9" t="s">
        <v>732</v>
      </c>
      <c r="S271" s="2" t="s">
        <v>357</v>
      </c>
    </row>
    <row r="272" spans="1:20" ht="14.4" customHeight="1" x14ac:dyDescent="0.3">
      <c r="A272" s="7" t="str">
        <f t="shared" si="39"/>
        <v>fix.0915.101.marvi</v>
      </c>
      <c r="B272" s="7" t="str">
        <f t="shared" si="40"/>
        <v>101</v>
      </c>
      <c r="C272" s="8" t="str">
        <f t="shared" si="41"/>
        <v xml:space="preserve">B. Mariæ Virginis Perdolentis </v>
      </c>
      <c r="D272" s="8" t="str">
        <f t="shared" si="41"/>
        <v xml:space="preserve">Our Lady of Sorrows </v>
      </c>
      <c r="E272" s="8" t="str">
        <f t="shared" si="42"/>
        <v>고통의 성모 마리아 기념일</v>
      </c>
      <c r="F272" s="7" t="s">
        <v>578</v>
      </c>
      <c r="G272" s="7" t="str">
        <f t="shared" si="43"/>
        <v>0915</v>
      </c>
      <c r="H272" s="7" t="str">
        <f t="shared" si="44"/>
        <v>101</v>
      </c>
      <c r="I272" s="7" t="str">
        <f t="shared" si="45"/>
        <v>marvi</v>
      </c>
      <c r="J272" s="6" t="str">
        <f>IFERROR(_xlfn.CONCAT(_xlfn.TEXTSPLIT(SUBSTITUTE(SUBSTITUTE(LOWER(Q272),"æ","ae"), " de ", " "),{"b. ","ss. ","s. ","ss.mi ","in ",".",","," et","sanctae ","ę","ũ"})), "")</f>
        <v xml:space="preserve">mariae virginis perdolentis </v>
      </c>
      <c r="K272" s="6">
        <f t="shared" si="46"/>
        <v>7</v>
      </c>
      <c r="L272" s="6" t="str">
        <f t="shared" si="47"/>
        <v>virginisperdolentis</v>
      </c>
      <c r="M272" s="6"/>
      <c r="N272" s="1">
        <v>45915</v>
      </c>
      <c r="O272" s="3">
        <v>101</v>
      </c>
      <c r="P272" s="4" t="s">
        <v>8</v>
      </c>
      <c r="Q272" s="2" t="s">
        <v>239</v>
      </c>
      <c r="R272" s="9" t="s">
        <v>733</v>
      </c>
      <c r="S272" s="2" t="s">
        <v>358</v>
      </c>
    </row>
    <row r="273" spans="1:20" ht="14.4" customHeight="1" x14ac:dyDescent="0.3">
      <c r="A273" s="7" t="str">
        <f t="shared" si="39"/>
        <v>fix.0916.101.corpa</v>
      </c>
      <c r="B273" s="7" t="str">
        <f t="shared" si="40"/>
        <v>101</v>
      </c>
      <c r="C273" s="8" t="str">
        <f t="shared" si="41"/>
        <v xml:space="preserve">Ss. Cornelii, papæ, et Cypriani, episcopi, martyrum </v>
      </c>
      <c r="D273" s="8" t="str">
        <f t="shared" si="41"/>
        <v xml:space="preserve">Sts. Cornelius, Pope, and Cyprian, Bishop, Martyrs </v>
      </c>
      <c r="E273" s="8" t="str">
        <f t="shared" si="42"/>
        <v>성 고르넬리오 교황과 성 치프리아노 주교 순교자 기념일</v>
      </c>
      <c r="F273" s="7" t="s">
        <v>578</v>
      </c>
      <c r="G273" s="7" t="str">
        <f t="shared" si="43"/>
        <v>0916</v>
      </c>
      <c r="H273" s="7" t="str">
        <f t="shared" si="44"/>
        <v>101</v>
      </c>
      <c r="I273" s="7" t="str">
        <f t="shared" si="45"/>
        <v>corpa</v>
      </c>
      <c r="J273" s="6" t="str">
        <f>IFERROR(_xlfn.CONCAT(_xlfn.TEXTSPLIT(SUBSTITUTE(SUBSTITUTE(LOWER(Q273),"æ","ae"), " de ", " "),{"b. ","ss. ","s. ","ss.mi ","in ",".",","," et","sanctae ","ę","ũ"})), "")</f>
        <v xml:space="preserve">cornelii papae cypriani episcopi martyrum </v>
      </c>
      <c r="K273" s="6">
        <f t="shared" si="46"/>
        <v>9</v>
      </c>
      <c r="L273" s="6" t="str">
        <f t="shared" si="47"/>
        <v>papaecyprianiepiscopimartyrum</v>
      </c>
      <c r="M273" s="6"/>
      <c r="N273" s="1">
        <v>45916</v>
      </c>
      <c r="O273" s="3">
        <v>101</v>
      </c>
      <c r="P273" s="4" t="s">
        <v>8</v>
      </c>
      <c r="Q273" s="2" t="s">
        <v>240</v>
      </c>
      <c r="R273" s="9" t="s">
        <v>734</v>
      </c>
      <c r="S273" s="2" t="s">
        <v>359</v>
      </c>
    </row>
    <row r="274" spans="1:20" ht="14.4" customHeight="1" x14ac:dyDescent="0.3">
      <c r="A274" s="7" t="str">
        <f t="shared" si="39"/>
        <v>fix.0917.121.robbe</v>
      </c>
      <c r="B274" s="7" t="str">
        <f t="shared" si="40"/>
        <v>121</v>
      </c>
      <c r="C274" s="8" t="str">
        <f t="shared" si="41"/>
        <v>S. Roberti Bellarmino, episcopi et Ecclesiæ doctoris</v>
      </c>
      <c r="D274" s="8" t="str">
        <f t="shared" si="41"/>
        <v>St. Robert Bellarmine, Bishop and Doctor of the Church</v>
      </c>
      <c r="E274" s="8" t="str">
        <f t="shared" si="42"/>
        <v>성 로베르토 벨라르미노 주교 학자</v>
      </c>
      <c r="F274" s="7" t="s">
        <v>578</v>
      </c>
      <c r="G274" s="7" t="str">
        <f t="shared" si="43"/>
        <v>0917</v>
      </c>
      <c r="H274" s="7" t="str">
        <f t="shared" si="44"/>
        <v>121</v>
      </c>
      <c r="I274" s="7" t="str">
        <f t="shared" si="45"/>
        <v>robbe</v>
      </c>
      <c r="J274" s="6" t="str">
        <f>IFERROR(_xlfn.CONCAT(_xlfn.TEXTSPLIT(SUBSTITUTE(SUBSTITUTE(LOWER(Q274),"æ","ae"), " de ", " "),{"b. ","ss. ","s. ","ss.mi ","in ",".",","," et","sanctae ","ę","ũ"})), "")</f>
        <v>roberti bellarmino episcopi ecclesiae doctoris</v>
      </c>
      <c r="K274" s="6">
        <f t="shared" si="46"/>
        <v>8</v>
      </c>
      <c r="L274" s="6" t="str">
        <f t="shared" si="47"/>
        <v>bellarminoepiscopiecclesiaedoctoris</v>
      </c>
      <c r="M274" s="6"/>
      <c r="N274" s="1">
        <v>45917</v>
      </c>
      <c r="O274" s="3" t="s">
        <v>471</v>
      </c>
      <c r="P274" s="4" t="s">
        <v>9</v>
      </c>
      <c r="Q274" s="2" t="s">
        <v>241</v>
      </c>
      <c r="R274" s="9" t="s">
        <v>735</v>
      </c>
      <c r="S274" s="2" t="s">
        <v>360</v>
      </c>
    </row>
    <row r="275" spans="1:20" ht="14.4" customHeight="1" x14ac:dyDescent="0.3">
      <c r="A275" s="7" t="str">
        <f t="shared" si="39"/>
        <v>fix.0917.121.hilbi</v>
      </c>
      <c r="B275" s="7" t="str">
        <f t="shared" si="40"/>
        <v>121</v>
      </c>
      <c r="C275" s="8" t="str">
        <f t="shared" si="41"/>
        <v>S. Hildegardis Bingensis, virginis et Ecclesiæ doctoris</v>
      </c>
      <c r="D275" s="8" t="str">
        <f t="shared" si="41"/>
        <v/>
      </c>
      <c r="E275" s="8" t="str">
        <f t="shared" si="42"/>
        <v>빙겐의 성녀 힐데가르트 동정 학자</v>
      </c>
      <c r="F275" s="7" t="s">
        <v>578</v>
      </c>
      <c r="G275" s="7" t="str">
        <f t="shared" si="43"/>
        <v>0917</v>
      </c>
      <c r="H275" s="7" t="str">
        <f t="shared" si="44"/>
        <v>121</v>
      </c>
      <c r="I275" s="7" t="str">
        <f t="shared" si="45"/>
        <v>hilbi</v>
      </c>
      <c r="J275" s="6" t="str">
        <f>IFERROR(_xlfn.CONCAT(_xlfn.TEXTSPLIT(SUBSTITUTE(SUBSTITUTE(LOWER(Q275),"æ","ae"), " de ", " "),{"b. ","ss. ","s. ","ss.mi ","in ",".",","," et","sanctae ","ę","ũ"})), "")</f>
        <v>hildegardis bingensis virginis ecclesiae doctoris</v>
      </c>
      <c r="K275" s="6">
        <f t="shared" si="46"/>
        <v>12</v>
      </c>
      <c r="L275" s="6" t="str">
        <f t="shared" si="47"/>
        <v>bingensisvirginisecclesiaedoctoris</v>
      </c>
      <c r="M275" s="6"/>
      <c r="N275" s="1">
        <v>45917</v>
      </c>
      <c r="O275" s="3" t="s">
        <v>471</v>
      </c>
      <c r="P275" s="4" t="s">
        <v>9</v>
      </c>
      <c r="Q275" s="2" t="s">
        <v>582</v>
      </c>
      <c r="S275" s="2" t="s">
        <v>453</v>
      </c>
      <c r="T275" t="s">
        <v>434</v>
      </c>
    </row>
    <row r="276" spans="1:20" ht="14.4" customHeight="1" x14ac:dyDescent="0.3">
      <c r="A276" s="7" t="str">
        <f t="shared" si="39"/>
        <v/>
      </c>
      <c r="B276" s="7" t="str">
        <f t="shared" si="40"/>
        <v/>
      </c>
      <c r="C276" s="8" t="str">
        <f t="shared" si="41"/>
        <v/>
      </c>
      <c r="D276" s="8" t="str">
        <f t="shared" si="41"/>
        <v/>
      </c>
      <c r="E276" s="8" t="str">
        <f t="shared" si="42"/>
        <v/>
      </c>
      <c r="F276" s="7" t="s">
        <v>578</v>
      </c>
      <c r="G276" s="7" t="str">
        <f t="shared" si="43"/>
        <v>0918</v>
      </c>
      <c r="H276" s="7" t="str">
        <f t="shared" si="44"/>
        <v/>
      </c>
      <c r="I276" s="7" t="str">
        <f t="shared" si="45"/>
        <v/>
      </c>
      <c r="J276" s="6" t="str">
        <f>IFERROR(_xlfn.CONCAT(_xlfn.TEXTSPLIT(SUBSTITUTE(SUBSTITUTE(LOWER(Q276),"æ","ae"), " de ", " "),{"b. ","ss. ","s. ","ss.mi ","in ",".",","," et","sanctae ","ę","ũ"})), "")</f>
        <v/>
      </c>
      <c r="K276" s="6" t="str">
        <f t="shared" si="46"/>
        <v/>
      </c>
      <c r="L276" s="6" t="str">
        <f t="shared" si="47"/>
        <v/>
      </c>
      <c r="M276" s="6"/>
      <c r="N276" s="1">
        <v>45918</v>
      </c>
    </row>
    <row r="277" spans="1:20" ht="14.4" customHeight="1" x14ac:dyDescent="0.3">
      <c r="A277" s="7" t="str">
        <f t="shared" si="39"/>
        <v>fix.0919.121.ianep</v>
      </c>
      <c r="B277" s="7" t="str">
        <f t="shared" si="40"/>
        <v>121</v>
      </c>
      <c r="C277" s="8" t="str">
        <f t="shared" si="41"/>
        <v>S. Ianuarii, episcopi et martyris</v>
      </c>
      <c r="D277" s="8" t="str">
        <f t="shared" si="41"/>
        <v>St. Januarius, Bishop and Martyr</v>
      </c>
      <c r="E277" s="8" t="str">
        <f t="shared" si="42"/>
        <v>성 야누아리오 주교 순교자</v>
      </c>
      <c r="F277" s="7" t="s">
        <v>578</v>
      </c>
      <c r="G277" s="7" t="str">
        <f t="shared" si="43"/>
        <v>0919</v>
      </c>
      <c r="H277" s="7" t="str">
        <f t="shared" si="44"/>
        <v>121</v>
      </c>
      <c r="I277" s="7" t="str">
        <f t="shared" si="45"/>
        <v>ianep</v>
      </c>
      <c r="J277" s="6" t="str">
        <f>IFERROR(_xlfn.CONCAT(_xlfn.TEXTSPLIT(SUBSTITUTE(SUBSTITUTE(LOWER(Q277),"æ","ae"), " de ", " "),{"b. ","ss. ","s. ","ss.mi ","in ",".",","," et","sanctae ","ę","ũ"})), "")</f>
        <v>ianuarii episcopi martyris</v>
      </c>
      <c r="K277" s="6">
        <f t="shared" si="46"/>
        <v>9</v>
      </c>
      <c r="L277" s="6" t="str">
        <f t="shared" si="47"/>
        <v>episcopimartyris</v>
      </c>
      <c r="M277" s="6"/>
      <c r="N277" s="1">
        <v>45919</v>
      </c>
      <c r="O277" s="3" t="s">
        <v>471</v>
      </c>
      <c r="P277" s="4" t="s">
        <v>9</v>
      </c>
      <c r="Q277" s="2" t="s">
        <v>242</v>
      </c>
      <c r="R277" s="9" t="s">
        <v>736</v>
      </c>
      <c r="S277" s="2" t="s">
        <v>361</v>
      </c>
    </row>
    <row r="278" spans="1:20" ht="14.4" customHeight="1" x14ac:dyDescent="0.3">
      <c r="A278" s="7" t="str">
        <f t="shared" si="39"/>
        <v>fix.0920.101.andki</v>
      </c>
      <c r="B278" s="7" t="str">
        <f t="shared" si="40"/>
        <v>101</v>
      </c>
      <c r="C278" s="8" t="str">
        <f t="shared" si="41"/>
        <v>Ss. Andreæ Kim Tæ-gŏn, presbyteri, et Pauli Chŏng Ha-sang, et sociorum, martyrum</v>
      </c>
      <c r="D278" s="8" t="str">
        <f t="shared" si="41"/>
        <v xml:space="preserve">Sts. Andrew Kim Tae-gon, Priest, Paul Chong Ha-sang, and Companions, Martyrs </v>
      </c>
      <c r="E278" s="8" t="str">
        <f t="shared" si="42"/>
        <v>성 김대건 안드레아 사제와 성 정하상 바오로와 동료 순교자들 기념일</v>
      </c>
      <c r="F278" s="7" t="s">
        <v>578</v>
      </c>
      <c r="G278" s="7" t="str">
        <f t="shared" si="43"/>
        <v>0920</v>
      </c>
      <c r="H278" s="7" t="str">
        <f t="shared" si="44"/>
        <v>101</v>
      </c>
      <c r="I278" s="7" t="str">
        <f t="shared" si="45"/>
        <v>andki</v>
      </c>
      <c r="J278" s="6" t="str">
        <f>IFERROR(_xlfn.CONCAT(_xlfn.TEXTSPLIT(SUBSTITUTE(SUBSTITUTE(LOWER(Q278),"æ","ae"), " de ", " "),{"b. ","ss. ","s. ","ss.mi ","in ",".",","," et","sanctae ","ę","ũ"})), "")</f>
        <v>andreae kim tae-gŏn presbyteri pauli chŏng ha-sang sociorum martyrum</v>
      </c>
      <c r="K278" s="6">
        <f t="shared" si="46"/>
        <v>8</v>
      </c>
      <c r="L278" s="6" t="str">
        <f t="shared" si="47"/>
        <v>kimtae-gŏnpresbyteripaulichŏngha-sangsociorummartyrum</v>
      </c>
      <c r="M278" s="6"/>
      <c r="N278" s="1">
        <v>45920</v>
      </c>
      <c r="O278" s="3">
        <v>101</v>
      </c>
      <c r="P278" s="4" t="s">
        <v>8</v>
      </c>
      <c r="Q278" s="2" t="s">
        <v>285</v>
      </c>
      <c r="R278" s="9" t="s">
        <v>739</v>
      </c>
      <c r="S278" s="2" t="s">
        <v>474</v>
      </c>
    </row>
    <row r="279" spans="1:20" ht="14.4" customHeight="1" x14ac:dyDescent="0.3">
      <c r="A279" s="7" t="str">
        <f t="shared" si="39"/>
        <v>fix.0921.071.matap</v>
      </c>
      <c r="B279" s="7" t="str">
        <f t="shared" si="40"/>
        <v>071</v>
      </c>
      <c r="C279" s="8" t="str">
        <f t="shared" si="41"/>
        <v>S. Matthæi, apostoli et evangelistæ</v>
      </c>
      <c r="D279" s="8" t="str">
        <f t="shared" si="41"/>
        <v xml:space="preserve">St. Matthew, Apostle and Evangelist </v>
      </c>
      <c r="E279" s="8" t="str">
        <f t="shared" si="42"/>
        <v>성 마태오 사도 복음사가 축일</v>
      </c>
      <c r="F279" s="7" t="s">
        <v>578</v>
      </c>
      <c r="G279" s="7" t="str">
        <f t="shared" si="43"/>
        <v>0921</v>
      </c>
      <c r="H279" s="7" t="str">
        <f t="shared" si="44"/>
        <v>071</v>
      </c>
      <c r="I279" s="7" t="str">
        <f t="shared" si="45"/>
        <v>matap</v>
      </c>
      <c r="J279" s="6" t="str">
        <f>IFERROR(_xlfn.CONCAT(_xlfn.TEXTSPLIT(SUBSTITUTE(SUBSTITUTE(LOWER(Q279),"æ","ae"), " de ", " "),{"b. ","ss. ","s. ","ss.mi ","in ",".",","," et","sanctae ","ę","ũ"})), "")</f>
        <v>matthaei apostoli evangelistae</v>
      </c>
      <c r="K279" s="6">
        <f t="shared" si="46"/>
        <v>9</v>
      </c>
      <c r="L279" s="6" t="str">
        <f t="shared" si="47"/>
        <v>apostolievangelistae</v>
      </c>
      <c r="M279" s="6"/>
      <c r="N279" s="1">
        <v>45921</v>
      </c>
      <c r="O279" s="3" t="s">
        <v>463</v>
      </c>
      <c r="P279" s="4" t="s">
        <v>20</v>
      </c>
      <c r="Q279" s="2" t="s">
        <v>243</v>
      </c>
      <c r="R279" s="9" t="s">
        <v>737</v>
      </c>
      <c r="S279" s="2" t="s">
        <v>363</v>
      </c>
    </row>
    <row r="280" spans="1:20" ht="14.4" customHeight="1" x14ac:dyDescent="0.3">
      <c r="A280" s="7" t="str">
        <f t="shared" si="39"/>
        <v/>
      </c>
      <c r="B280" s="7" t="str">
        <f t="shared" si="40"/>
        <v/>
      </c>
      <c r="C280" s="8" t="str">
        <f t="shared" si="41"/>
        <v/>
      </c>
      <c r="D280" s="8" t="str">
        <f t="shared" si="41"/>
        <v/>
      </c>
      <c r="E280" s="8" t="str">
        <f t="shared" si="42"/>
        <v/>
      </c>
      <c r="F280" s="7" t="s">
        <v>578</v>
      </c>
      <c r="G280" s="7" t="str">
        <f t="shared" si="43"/>
        <v>0922</v>
      </c>
      <c r="H280" s="7" t="str">
        <f t="shared" si="44"/>
        <v/>
      </c>
      <c r="I280" s="7" t="str">
        <f t="shared" si="45"/>
        <v/>
      </c>
      <c r="J280" s="6" t="str">
        <f>IFERROR(_xlfn.CONCAT(_xlfn.TEXTSPLIT(SUBSTITUTE(SUBSTITUTE(LOWER(Q280),"æ","ae"), " de ", " "),{"b. ","ss. ","s. ","ss.mi ","in ",".",","," et","sanctae ","ę","ũ"})), "")</f>
        <v/>
      </c>
      <c r="K280" s="6" t="str">
        <f t="shared" si="46"/>
        <v/>
      </c>
      <c r="L280" s="6" t="str">
        <f t="shared" si="47"/>
        <v/>
      </c>
      <c r="M280" s="6"/>
      <c r="N280" s="1">
        <v>45922</v>
      </c>
    </row>
    <row r="281" spans="1:20" ht="14.4" customHeight="1" x14ac:dyDescent="0.3">
      <c r="A281" s="7" t="str">
        <f t="shared" si="39"/>
        <v>fix.0923.101.piipi</v>
      </c>
      <c r="B281" s="7" t="str">
        <f t="shared" si="40"/>
        <v>101</v>
      </c>
      <c r="C281" s="8" t="str">
        <f t="shared" si="41"/>
        <v>S. Pii de Pietrelcina, presbyteri</v>
      </c>
      <c r="D281" s="8" t="str">
        <f t="shared" si="41"/>
        <v xml:space="preserve">St. Pius of Pietrelcina, Priest </v>
      </c>
      <c r="E281" s="8" t="str">
        <f t="shared" si="42"/>
        <v>피에트렐치나의 성 비오 사제 기념일</v>
      </c>
      <c r="F281" s="7" t="s">
        <v>578</v>
      </c>
      <c r="G281" s="7" t="str">
        <f t="shared" si="43"/>
        <v>0923</v>
      </c>
      <c r="H281" s="7" t="str">
        <f t="shared" si="44"/>
        <v>101</v>
      </c>
      <c r="I281" s="7" t="str">
        <f t="shared" si="45"/>
        <v>piipi</v>
      </c>
      <c r="J281" s="6" t="str">
        <f>IFERROR(_xlfn.CONCAT(_xlfn.TEXTSPLIT(SUBSTITUTE(SUBSTITUTE(LOWER(Q281),"æ","ae"), " de ", " "),{"b. ","ss. ","s. ","ss.mi ","in ",".",","," et","sanctae ","ę","ũ"})), "")</f>
        <v>pii pietrelcina presbyteri</v>
      </c>
      <c r="K281" s="6">
        <f t="shared" si="46"/>
        <v>4</v>
      </c>
      <c r="L281" s="6" t="str">
        <f t="shared" si="47"/>
        <v>pietrelcinapresbyteri</v>
      </c>
      <c r="M281" s="6"/>
      <c r="N281" s="1">
        <v>45923</v>
      </c>
      <c r="O281" s="3">
        <v>101</v>
      </c>
      <c r="P281" s="4" t="s">
        <v>8</v>
      </c>
      <c r="Q281" s="2" t="s">
        <v>371</v>
      </c>
      <c r="R281" s="9" t="s">
        <v>738</v>
      </c>
      <c r="S281" s="2" t="s">
        <v>364</v>
      </c>
    </row>
    <row r="282" spans="1:20" ht="14.4" customHeight="1" x14ac:dyDescent="0.3">
      <c r="A282" s="7" t="str">
        <f t="shared" si="39"/>
        <v/>
      </c>
      <c r="B282" s="7" t="str">
        <f t="shared" si="40"/>
        <v/>
      </c>
      <c r="C282" s="8" t="str">
        <f t="shared" si="41"/>
        <v/>
      </c>
      <c r="D282" s="8" t="str">
        <f t="shared" si="41"/>
        <v/>
      </c>
      <c r="E282" s="8" t="str">
        <f t="shared" si="42"/>
        <v/>
      </c>
      <c r="F282" s="7" t="s">
        <v>578</v>
      </c>
      <c r="G282" s="7" t="str">
        <f t="shared" si="43"/>
        <v>0924</v>
      </c>
      <c r="H282" s="7" t="str">
        <f t="shared" si="44"/>
        <v/>
      </c>
      <c r="I282" s="7" t="str">
        <f t="shared" si="45"/>
        <v/>
      </c>
      <c r="J282" s="6" t="str">
        <f>IFERROR(_xlfn.CONCAT(_xlfn.TEXTSPLIT(SUBSTITUTE(SUBSTITUTE(LOWER(Q282),"æ","ae"), " de ", " "),{"b. ","ss. ","s. ","ss.mi ","in ",".",","," et","sanctae ","ę","ũ"})), "")</f>
        <v/>
      </c>
      <c r="K282" s="6" t="str">
        <f t="shared" si="46"/>
        <v/>
      </c>
      <c r="L282" s="6" t="str">
        <f t="shared" si="47"/>
        <v/>
      </c>
      <c r="M282" s="6"/>
      <c r="N282" s="1">
        <v>45924</v>
      </c>
    </row>
    <row r="283" spans="1:20" ht="14.4" customHeight="1" x14ac:dyDescent="0.3">
      <c r="A283" s="7" t="str">
        <f t="shared" si="39"/>
        <v/>
      </c>
      <c r="B283" s="7" t="str">
        <f t="shared" si="40"/>
        <v/>
      </c>
      <c r="C283" s="8" t="str">
        <f t="shared" si="41"/>
        <v/>
      </c>
      <c r="D283" s="8" t="str">
        <f t="shared" si="41"/>
        <v/>
      </c>
      <c r="E283" s="8" t="str">
        <f t="shared" si="42"/>
        <v/>
      </c>
      <c r="F283" s="7" t="s">
        <v>578</v>
      </c>
      <c r="G283" s="7" t="str">
        <f t="shared" si="43"/>
        <v>0925</v>
      </c>
      <c r="H283" s="7" t="str">
        <f t="shared" si="44"/>
        <v/>
      </c>
      <c r="I283" s="7" t="str">
        <f t="shared" si="45"/>
        <v/>
      </c>
      <c r="J283" s="6" t="str">
        <f>IFERROR(_xlfn.CONCAT(_xlfn.TEXTSPLIT(SUBSTITUTE(SUBSTITUTE(LOWER(Q283),"æ","ae"), " de ", " "),{"b. ","ss. ","s. ","ss.mi ","in ",".",","," et","sanctae ","ę","ũ"})), "")</f>
        <v/>
      </c>
      <c r="K283" s="6" t="str">
        <f t="shared" si="46"/>
        <v/>
      </c>
      <c r="L283" s="6" t="str">
        <f t="shared" si="47"/>
        <v/>
      </c>
      <c r="M283" s="6"/>
      <c r="N283" s="1">
        <v>45925</v>
      </c>
    </row>
    <row r="284" spans="1:20" ht="14.4" customHeight="1" x14ac:dyDescent="0.3">
      <c r="A284" s="7" t="str">
        <f t="shared" si="39"/>
        <v>fix.0926.121.cosda</v>
      </c>
      <c r="B284" s="7" t="str">
        <f t="shared" si="40"/>
        <v>121</v>
      </c>
      <c r="C284" s="8" t="str">
        <f t="shared" si="41"/>
        <v>Ss. Cosmæ et Damiani, martyrum</v>
      </c>
      <c r="D284" s="8" t="str">
        <f t="shared" si="41"/>
        <v>Sts. Cosmas and Damian, Martyrs</v>
      </c>
      <c r="E284" s="8" t="str">
        <f t="shared" si="42"/>
        <v>성 고스마와 성 다미아노 순교자</v>
      </c>
      <c r="F284" s="7" t="s">
        <v>578</v>
      </c>
      <c r="G284" s="7" t="str">
        <f t="shared" si="43"/>
        <v>0926</v>
      </c>
      <c r="H284" s="7" t="str">
        <f t="shared" si="44"/>
        <v>121</v>
      </c>
      <c r="I284" s="7" t="str">
        <f t="shared" si="45"/>
        <v>cosda</v>
      </c>
      <c r="J284" s="6" t="str">
        <f>IFERROR(_xlfn.CONCAT(_xlfn.TEXTSPLIT(SUBSTITUTE(SUBSTITUTE(LOWER(Q284),"æ","ae"), " de ", " "),{"b. ","ss. ","s. ","ss.mi ","in ",".",","," et","sanctae ","ę","ũ"})), "")</f>
        <v>cosmae damiani martyrum</v>
      </c>
      <c r="K284" s="6">
        <f t="shared" si="46"/>
        <v>7</v>
      </c>
      <c r="L284" s="6" t="str">
        <f t="shared" si="47"/>
        <v>damianimartyrum</v>
      </c>
      <c r="M284" s="6"/>
      <c r="N284" s="1">
        <v>45926</v>
      </c>
      <c r="O284" s="3" t="s">
        <v>471</v>
      </c>
      <c r="P284" s="4" t="s">
        <v>9</v>
      </c>
      <c r="Q284" s="2" t="s">
        <v>244</v>
      </c>
      <c r="R284" s="9" t="s">
        <v>740</v>
      </c>
      <c r="S284" s="2" t="s">
        <v>365</v>
      </c>
    </row>
    <row r="285" spans="1:20" ht="14.4" customHeight="1" x14ac:dyDescent="0.3">
      <c r="A285" s="7" t="str">
        <f t="shared" si="39"/>
        <v>fix.0927.101.vinpa</v>
      </c>
      <c r="B285" s="7" t="str">
        <f t="shared" si="40"/>
        <v>101</v>
      </c>
      <c r="C285" s="8" t="str">
        <f t="shared" si="41"/>
        <v>S. Vincentii de Paul, presbyteri</v>
      </c>
      <c r="D285" s="8" t="str">
        <f t="shared" si="41"/>
        <v xml:space="preserve">St. Vincent de Paul, Priest </v>
      </c>
      <c r="E285" s="8" t="str">
        <f t="shared" si="42"/>
        <v>성 빈첸시오 드 폴 사제 기념일</v>
      </c>
      <c r="F285" s="7" t="s">
        <v>578</v>
      </c>
      <c r="G285" s="7" t="str">
        <f t="shared" si="43"/>
        <v>0927</v>
      </c>
      <c r="H285" s="7" t="str">
        <f t="shared" si="44"/>
        <v>101</v>
      </c>
      <c r="I285" s="7" t="str">
        <f t="shared" si="45"/>
        <v>vinpa</v>
      </c>
      <c r="J285" s="6" t="str">
        <f>IFERROR(_xlfn.CONCAT(_xlfn.TEXTSPLIT(SUBSTITUTE(SUBSTITUTE(LOWER(Q285),"æ","ae"), " de ", " "),{"b. ","ss. ","s. ","ss.mi ","in ",".",","," et","sanctae ","ę","ũ"})), "")</f>
        <v>vincentii paul presbyteri</v>
      </c>
      <c r="K285" s="6">
        <f t="shared" si="46"/>
        <v>10</v>
      </c>
      <c r="L285" s="6" t="str">
        <f t="shared" si="47"/>
        <v>paulpresbyteri</v>
      </c>
      <c r="M285" s="6"/>
      <c r="N285" s="1">
        <v>45927</v>
      </c>
      <c r="O285" s="3">
        <v>101</v>
      </c>
      <c r="P285" s="4" t="s">
        <v>8</v>
      </c>
      <c r="Q285" s="2" t="s">
        <v>245</v>
      </c>
      <c r="R285" s="9" t="s">
        <v>741</v>
      </c>
      <c r="S285" s="2" t="s">
        <v>366</v>
      </c>
    </row>
    <row r="286" spans="1:20" ht="14.4" customHeight="1" x14ac:dyDescent="0.3">
      <c r="A286" s="7" t="str">
        <f t="shared" si="39"/>
        <v>fix.0928.121.venma</v>
      </c>
      <c r="B286" s="7" t="str">
        <f t="shared" si="40"/>
        <v>121</v>
      </c>
      <c r="C286" s="8" t="str">
        <f t="shared" si="41"/>
        <v>S. Venceslai, martyris</v>
      </c>
      <c r="D286" s="8" t="str">
        <f t="shared" si="41"/>
        <v>St. Wenceslaus, Martyr</v>
      </c>
      <c r="E286" s="8" t="str">
        <f t="shared" si="42"/>
        <v>성 벤체슬라오 순교자</v>
      </c>
      <c r="F286" s="7" t="s">
        <v>578</v>
      </c>
      <c r="G286" s="7" t="str">
        <f t="shared" si="43"/>
        <v>0928</v>
      </c>
      <c r="H286" s="7" t="str">
        <f t="shared" si="44"/>
        <v>121</v>
      </c>
      <c r="I286" s="7" t="str">
        <f t="shared" si="45"/>
        <v>venma</v>
      </c>
      <c r="J286" s="6" t="str">
        <f>IFERROR(_xlfn.CONCAT(_xlfn.TEXTSPLIT(SUBSTITUTE(SUBSTITUTE(LOWER(Q286),"æ","ae"), " de ", " "),{"b. ","ss. ","s. ","ss.mi ","in ",".",","," et","sanctae ","ę","ũ"})), "")</f>
        <v>venceslai martyris</v>
      </c>
      <c r="K286" s="6">
        <f t="shared" si="46"/>
        <v>10</v>
      </c>
      <c r="L286" s="6" t="str">
        <f t="shared" si="47"/>
        <v>martyris</v>
      </c>
      <c r="M286" s="6"/>
      <c r="N286" s="1">
        <v>45928</v>
      </c>
      <c r="O286" s="3" t="s">
        <v>471</v>
      </c>
      <c r="P286" s="4" t="s">
        <v>9</v>
      </c>
      <c r="Q286" s="2" t="s">
        <v>246</v>
      </c>
      <c r="R286" s="9" t="s">
        <v>742</v>
      </c>
      <c r="S286" s="2" t="s">
        <v>367</v>
      </c>
    </row>
    <row r="287" spans="1:20" ht="14.4" customHeight="1" x14ac:dyDescent="0.3">
      <c r="A287" s="7" t="str">
        <f t="shared" si="39"/>
        <v>fix.0928.121.lauru</v>
      </c>
      <c r="B287" s="7" t="str">
        <f t="shared" si="40"/>
        <v>121</v>
      </c>
      <c r="C287" s="8" t="str">
        <f t="shared" si="41"/>
        <v>Ss. Laurentii Ruiz et sociorum, martyrum</v>
      </c>
      <c r="D287" s="8" t="str">
        <f t="shared" si="41"/>
        <v>St. Lawrence Ruiz and Companions, Martyrs</v>
      </c>
      <c r="E287" s="8" t="str">
        <f t="shared" si="42"/>
        <v>성 라우렌시오 루이스와 동료 순교자들</v>
      </c>
      <c r="F287" s="7" t="s">
        <v>578</v>
      </c>
      <c r="G287" s="7" t="str">
        <f t="shared" si="43"/>
        <v>0928</v>
      </c>
      <c r="H287" s="7" t="str">
        <f t="shared" si="44"/>
        <v>121</v>
      </c>
      <c r="I287" s="7" t="str">
        <f t="shared" si="45"/>
        <v>lauru</v>
      </c>
      <c r="J287" s="6" t="str">
        <f>IFERROR(_xlfn.CONCAT(_xlfn.TEXTSPLIT(SUBSTITUTE(SUBSTITUTE(LOWER(Q287),"æ","ae"), " de ", " "),{"b. ","ss. ","s. ","ss.mi ","in ",".",","," et","sanctae ","ę","ũ"})), "")</f>
        <v>laurentii ruiz sociorum martyrum</v>
      </c>
      <c r="K287" s="6">
        <f t="shared" si="46"/>
        <v>10</v>
      </c>
      <c r="L287" s="6" t="str">
        <f t="shared" si="47"/>
        <v>ruizsociorummartyrum</v>
      </c>
      <c r="M287" s="6"/>
      <c r="N287" s="1">
        <v>45928</v>
      </c>
      <c r="O287" s="3" t="s">
        <v>471</v>
      </c>
      <c r="P287" s="4" t="s">
        <v>9</v>
      </c>
      <c r="Q287" s="2" t="s">
        <v>247</v>
      </c>
      <c r="R287" s="9" t="s">
        <v>743</v>
      </c>
      <c r="S287" s="2" t="s">
        <v>368</v>
      </c>
    </row>
    <row r="288" spans="1:20" ht="14.4" customHeight="1" x14ac:dyDescent="0.3">
      <c r="A288" s="7" t="str">
        <f t="shared" si="39"/>
        <v>fix.0929.071.micga</v>
      </c>
      <c r="B288" s="7" t="str">
        <f t="shared" si="40"/>
        <v>071</v>
      </c>
      <c r="C288" s="8" t="str">
        <f t="shared" si="41"/>
        <v>Ss. Michaelis, Gabrielis et Raphaelis, archangelorum</v>
      </c>
      <c r="D288" s="8" t="str">
        <f t="shared" si="41"/>
        <v xml:space="preserve">Sts. Michael, Gabriel and Raphael, Archangels </v>
      </c>
      <c r="E288" s="8" t="str">
        <f t="shared" si="42"/>
        <v>성 미카엘, 성 가브리엘, 성 라파엘 대천사 축일</v>
      </c>
      <c r="F288" s="7" t="s">
        <v>578</v>
      </c>
      <c r="G288" s="7" t="str">
        <f t="shared" si="43"/>
        <v>0929</v>
      </c>
      <c r="H288" s="7" t="str">
        <f t="shared" si="44"/>
        <v>071</v>
      </c>
      <c r="I288" s="7" t="str">
        <f t="shared" si="45"/>
        <v>micga</v>
      </c>
      <c r="J288" s="6" t="str">
        <f>IFERROR(_xlfn.CONCAT(_xlfn.TEXTSPLIT(SUBSTITUTE(SUBSTITUTE(LOWER(Q288),"æ","ae"), " de ", " "),{"b. ","ss. ","s. ","ss.mi ","in ",".",","," et","sanctae ","ę","ũ"})), "")</f>
        <v>michaelis gabrielis raphaelis archangelorum</v>
      </c>
      <c r="K288" s="6">
        <f t="shared" si="46"/>
        <v>10</v>
      </c>
      <c r="L288" s="6" t="str">
        <f t="shared" si="47"/>
        <v>gabrielisraphaelisarchangelorum</v>
      </c>
      <c r="M288" s="6"/>
      <c r="N288" s="1">
        <v>45929</v>
      </c>
      <c r="O288" s="3" t="s">
        <v>463</v>
      </c>
      <c r="P288" s="4" t="s">
        <v>20</v>
      </c>
      <c r="Q288" s="2" t="s">
        <v>248</v>
      </c>
      <c r="R288" s="9" t="s">
        <v>744</v>
      </c>
      <c r="S288" s="2" t="s">
        <v>369</v>
      </c>
    </row>
    <row r="289" spans="1:20" ht="14.4" customHeight="1" x14ac:dyDescent="0.3">
      <c r="A289" s="7" t="str">
        <f t="shared" si="39"/>
        <v>fix.0930.101.hiepr</v>
      </c>
      <c r="B289" s="7" t="str">
        <f t="shared" si="40"/>
        <v>101</v>
      </c>
      <c r="C289" s="8" t="str">
        <f t="shared" si="41"/>
        <v>S. Hieronymi, presbyteri et Ecclesiæ doctoris</v>
      </c>
      <c r="D289" s="8" t="str">
        <f t="shared" si="41"/>
        <v xml:space="preserve">St. Jerome, Priest and Doctor of the Church </v>
      </c>
      <c r="E289" s="8" t="str">
        <f t="shared" si="42"/>
        <v>성 예로니모 사제 학자 기념일</v>
      </c>
      <c r="F289" s="7" t="s">
        <v>578</v>
      </c>
      <c r="G289" s="7" t="str">
        <f t="shared" si="43"/>
        <v>0930</v>
      </c>
      <c r="H289" s="7" t="str">
        <f t="shared" si="44"/>
        <v>101</v>
      </c>
      <c r="I289" s="7" t="str">
        <f t="shared" si="45"/>
        <v>hiepr</v>
      </c>
      <c r="J289" s="6" t="str">
        <f>IFERROR(_xlfn.CONCAT(_xlfn.TEXTSPLIT(SUBSTITUTE(SUBSTITUTE(LOWER(Q289),"æ","ae"), " de ", " "),{"b. ","ss. ","s. ","ss.mi ","in ",".",","," et","sanctae ","ę","ũ"})), "")</f>
        <v>hieronymi presbyteri ecclesiae doctoris</v>
      </c>
      <c r="K289" s="6">
        <f t="shared" si="46"/>
        <v>10</v>
      </c>
      <c r="L289" s="6" t="str">
        <f t="shared" si="47"/>
        <v>presbyteriecclesiaedoctoris</v>
      </c>
      <c r="M289" s="6"/>
      <c r="N289" s="1">
        <v>45930</v>
      </c>
      <c r="O289" s="3">
        <v>101</v>
      </c>
      <c r="P289" s="4" t="s">
        <v>8</v>
      </c>
      <c r="Q289" s="2" t="s">
        <v>249</v>
      </c>
      <c r="R289" s="9" t="s">
        <v>745</v>
      </c>
      <c r="S289" s="2" t="s">
        <v>370</v>
      </c>
    </row>
    <row r="290" spans="1:20" ht="14.4" customHeight="1" x14ac:dyDescent="0.3">
      <c r="A290" s="7" t="str">
        <f t="shared" si="39"/>
        <v>fix.1001.101.terai</v>
      </c>
      <c r="B290" s="7" t="str">
        <f t="shared" si="40"/>
        <v>101</v>
      </c>
      <c r="C290" s="8" t="str">
        <f t="shared" si="41"/>
        <v xml:space="preserve">S. Teresiæ a Iesu Infante, virginis et Ecclesiæ doctoris </v>
      </c>
      <c r="D290" s="8" t="str">
        <f t="shared" si="41"/>
        <v xml:space="preserve">St. Thérèse of the Child Jesus, Virgin and Doctor of the Church </v>
      </c>
      <c r="E290" s="8" t="str">
        <f t="shared" si="42"/>
        <v>아기 예수의 성녀 데레사 동정 학자 기념일</v>
      </c>
      <c r="F290" s="7" t="s">
        <v>578</v>
      </c>
      <c r="G290" s="7" t="str">
        <f t="shared" si="43"/>
        <v>1001</v>
      </c>
      <c r="H290" s="7" t="str">
        <f t="shared" si="44"/>
        <v>101</v>
      </c>
      <c r="I290" s="7" t="str">
        <f t="shared" si="45"/>
        <v>terai</v>
      </c>
      <c r="J290" s="6" t="str">
        <f>IFERROR(_xlfn.CONCAT(_xlfn.TEXTSPLIT(SUBSTITUTE(SUBSTITUTE(LOWER(Q290),"æ","ae"), " de ", " "),{"b. ","ss. ","s. ","ss.mi ","in ",".",","," et","sanctae ","ę","ũ"})), "")</f>
        <v xml:space="preserve">teresiae a iesu infante virginis ecclesiae doctoris </v>
      </c>
      <c r="K290" s="6">
        <f t="shared" si="46"/>
        <v>9</v>
      </c>
      <c r="L290" s="6" t="str">
        <f t="shared" si="47"/>
        <v>aiesuinfantevirginisecclesiaedoctoris</v>
      </c>
      <c r="M290" s="6"/>
      <c r="N290" s="1">
        <v>45931</v>
      </c>
      <c r="O290" s="3">
        <v>101</v>
      </c>
      <c r="P290" s="4" t="s">
        <v>8</v>
      </c>
      <c r="Q290" s="2" t="s">
        <v>250</v>
      </c>
      <c r="R290" s="9" t="s">
        <v>746</v>
      </c>
      <c r="S290" s="2" t="s">
        <v>372</v>
      </c>
    </row>
    <row r="291" spans="1:20" ht="14.4" customHeight="1" x14ac:dyDescent="0.3">
      <c r="A291" s="7" t="str">
        <f t="shared" si="39"/>
        <v>fix.1002.101.angcu</v>
      </c>
      <c r="B291" s="7" t="str">
        <f t="shared" si="40"/>
        <v>101</v>
      </c>
      <c r="C291" s="8" t="str">
        <f t="shared" si="41"/>
        <v xml:space="preserve">Ss. Angelorum Custodum </v>
      </c>
      <c r="D291" s="8" t="str">
        <f t="shared" si="41"/>
        <v xml:space="preserve">The Holy Guardian Angels </v>
      </c>
      <c r="E291" s="8" t="str">
        <f t="shared" si="42"/>
        <v>수호천사 기념일</v>
      </c>
      <c r="F291" s="7" t="s">
        <v>578</v>
      </c>
      <c r="G291" s="7" t="str">
        <f t="shared" si="43"/>
        <v>1002</v>
      </c>
      <c r="H291" s="7" t="str">
        <f t="shared" si="44"/>
        <v>101</v>
      </c>
      <c r="I291" s="7" t="str">
        <f t="shared" si="45"/>
        <v>angcu</v>
      </c>
      <c r="J291" s="6" t="str">
        <f>IFERROR(_xlfn.CONCAT(_xlfn.TEXTSPLIT(SUBSTITUTE(SUBSTITUTE(LOWER(Q291),"æ","ae"), " de ", " "),{"b. ","ss. ","s. ","ss.mi ","in ",".",","," et","sanctae ","ę","ũ"})), "")</f>
        <v xml:space="preserve">angelorum custodum </v>
      </c>
      <c r="K291" s="6">
        <f t="shared" si="46"/>
        <v>10</v>
      </c>
      <c r="L291" s="6" t="str">
        <f t="shared" si="47"/>
        <v>custodum</v>
      </c>
      <c r="M291" s="6"/>
      <c r="N291" s="1">
        <v>45932</v>
      </c>
      <c r="O291" s="3">
        <v>101</v>
      </c>
      <c r="P291" s="4" t="s">
        <v>8</v>
      </c>
      <c r="Q291" s="2" t="s">
        <v>251</v>
      </c>
      <c r="R291" s="9" t="s">
        <v>747</v>
      </c>
      <c r="S291" s="2" t="s">
        <v>373</v>
      </c>
    </row>
    <row r="292" spans="1:20" ht="14.4" customHeight="1" x14ac:dyDescent="0.3">
      <c r="A292" s="7" t="str">
        <f t="shared" si="39"/>
        <v/>
      </c>
      <c r="B292" s="7" t="str">
        <f t="shared" si="40"/>
        <v/>
      </c>
      <c r="C292" s="8" t="str">
        <f t="shared" si="41"/>
        <v/>
      </c>
      <c r="D292" s="8" t="str">
        <f t="shared" si="41"/>
        <v/>
      </c>
      <c r="E292" s="8" t="str">
        <f t="shared" si="42"/>
        <v/>
      </c>
      <c r="F292" s="7" t="s">
        <v>578</v>
      </c>
      <c r="G292" s="7" t="str">
        <f t="shared" si="43"/>
        <v>1003</v>
      </c>
      <c r="H292" s="7" t="str">
        <f t="shared" si="44"/>
        <v/>
      </c>
      <c r="I292" s="7" t="str">
        <f t="shared" si="45"/>
        <v/>
      </c>
      <c r="J292" s="6" t="str">
        <f>IFERROR(_xlfn.CONCAT(_xlfn.TEXTSPLIT(SUBSTITUTE(SUBSTITUTE(LOWER(Q292),"æ","ae"), " de ", " "),{"b. ","ss. ","s. ","ss.mi ","in ",".",","," et","sanctae ","ę","ũ"})), "")</f>
        <v/>
      </c>
      <c r="K292" s="6" t="str">
        <f t="shared" si="46"/>
        <v/>
      </c>
      <c r="L292" s="6" t="str">
        <f t="shared" si="47"/>
        <v/>
      </c>
      <c r="M292" s="6"/>
      <c r="N292" s="1">
        <v>45933</v>
      </c>
    </row>
    <row r="293" spans="1:20" ht="14.4" customHeight="1" x14ac:dyDescent="0.3">
      <c r="A293" s="7" t="str">
        <f t="shared" si="39"/>
        <v>fix.1004.101.fraas</v>
      </c>
      <c r="B293" s="7" t="str">
        <f t="shared" si="40"/>
        <v>101</v>
      </c>
      <c r="C293" s="8" t="str">
        <f t="shared" si="41"/>
        <v>S. Francisci Assisiensis</v>
      </c>
      <c r="D293" s="8" t="str">
        <f t="shared" si="41"/>
        <v xml:space="preserve">St. Francis of Assisi </v>
      </c>
      <c r="E293" s="8" t="str">
        <f t="shared" si="42"/>
        <v>아시시의 성 프란치스코 기념일</v>
      </c>
      <c r="F293" s="7" t="s">
        <v>578</v>
      </c>
      <c r="G293" s="7" t="str">
        <f t="shared" si="43"/>
        <v>1004</v>
      </c>
      <c r="H293" s="7" t="str">
        <f t="shared" si="44"/>
        <v>101</v>
      </c>
      <c r="I293" s="7" t="str">
        <f t="shared" si="45"/>
        <v>fraas</v>
      </c>
      <c r="J293" s="6" t="str">
        <f>IFERROR(_xlfn.CONCAT(_xlfn.TEXTSPLIT(SUBSTITUTE(SUBSTITUTE(LOWER(Q293),"æ","ae"), " de ", " "),{"b. ","ss. ","s. ","ss.mi ","in ",".",","," et","sanctae ","ę","ũ"})), "")</f>
        <v>francisci assisiensis</v>
      </c>
      <c r="K293" s="6">
        <f t="shared" si="46"/>
        <v>10</v>
      </c>
      <c r="L293" s="6" t="str">
        <f t="shared" si="47"/>
        <v>assisiensis</v>
      </c>
      <c r="M293" s="6"/>
      <c r="N293" s="1">
        <v>45934</v>
      </c>
      <c r="O293" s="3">
        <v>101</v>
      </c>
      <c r="P293" s="4" t="s">
        <v>8</v>
      </c>
      <c r="Q293" s="2" t="s">
        <v>252</v>
      </c>
      <c r="R293" s="9" t="s">
        <v>748</v>
      </c>
      <c r="S293" s="2" t="s">
        <v>374</v>
      </c>
    </row>
    <row r="294" spans="1:20" ht="14.4" customHeight="1" x14ac:dyDescent="0.3">
      <c r="A294" s="7" t="str">
        <f t="shared" si="39"/>
        <v>fix.1005.121.s fko</v>
      </c>
      <c r="B294" s="7" t="str">
        <f t="shared" si="40"/>
        <v>121</v>
      </c>
      <c r="C294" s="8" t="str">
        <f t="shared" si="41"/>
        <v>S. Faustinæ Kowalska, virginis</v>
      </c>
      <c r="D294" s="8" t="str">
        <f t="shared" si="41"/>
        <v/>
      </c>
      <c r="E294" s="8" t="str">
        <f t="shared" si="42"/>
        <v>성녀 파우스티나 코발스카 동정</v>
      </c>
      <c r="F294" s="7" t="s">
        <v>578</v>
      </c>
      <c r="G294" s="7" t="str">
        <f t="shared" si="43"/>
        <v>1005</v>
      </c>
      <c r="H294" s="7" t="str">
        <f t="shared" si="44"/>
        <v>121</v>
      </c>
      <c r="I294" s="7" t="str">
        <f t="shared" si="45"/>
        <v>s fko</v>
      </c>
      <c r="J294" s="6" t="str">
        <f>IFERROR(_xlfn.CONCAT(_xlfn.TEXTSPLIT(SUBSTITUTE(SUBSTITUTE(LOWER(Q294),"æ","ae"), " de ", " "),{"b. ","ss. ","s. ","ss.mi ","in ",".",","," et","sanctae ","ę","ũ"})), "")</f>
        <v>s faustinae kowalska virginis</v>
      </c>
      <c r="K294" s="6">
        <f t="shared" si="46"/>
        <v>12</v>
      </c>
      <c r="L294" s="6" t="str">
        <f t="shared" si="47"/>
        <v>kowalskavirginis</v>
      </c>
      <c r="M294" s="6"/>
      <c r="N294" s="1">
        <v>45935</v>
      </c>
      <c r="O294" s="3" t="s">
        <v>471</v>
      </c>
      <c r="P294" s="4" t="s">
        <v>9</v>
      </c>
      <c r="Q294" s="2" t="s">
        <v>446</v>
      </c>
      <c r="S294" s="2" t="s">
        <v>456</v>
      </c>
      <c r="T294" t="s">
        <v>447</v>
      </c>
    </row>
    <row r="295" spans="1:20" ht="14.4" customHeight="1" x14ac:dyDescent="0.3">
      <c r="A295" s="7" t="str">
        <f t="shared" si="39"/>
        <v>fix.1006.121.brupr</v>
      </c>
      <c r="B295" s="7" t="str">
        <f t="shared" si="40"/>
        <v>121</v>
      </c>
      <c r="C295" s="8" t="str">
        <f t="shared" si="41"/>
        <v>S. Brunonis, presbyteri</v>
      </c>
      <c r="D295" s="8" t="str">
        <f t="shared" si="41"/>
        <v>St. Bruno, Priest</v>
      </c>
      <c r="E295" s="8" t="str">
        <f t="shared" si="42"/>
        <v>성 브루노 사제</v>
      </c>
      <c r="F295" s="7" t="s">
        <v>578</v>
      </c>
      <c r="G295" s="7" t="str">
        <f t="shared" si="43"/>
        <v>1006</v>
      </c>
      <c r="H295" s="7" t="str">
        <f t="shared" si="44"/>
        <v>121</v>
      </c>
      <c r="I295" s="7" t="str">
        <f t="shared" si="45"/>
        <v>brupr</v>
      </c>
      <c r="J295" s="6" t="str">
        <f>IFERROR(_xlfn.CONCAT(_xlfn.TEXTSPLIT(SUBSTITUTE(SUBSTITUTE(LOWER(Q295),"æ","ae"), " de ", " "),{"b. ","ss. ","s. ","ss.mi ","in ",".",","," et","sanctae ","ę","ũ"})), "")</f>
        <v>brunonis presbyteri</v>
      </c>
      <c r="K295" s="6">
        <f t="shared" si="46"/>
        <v>9</v>
      </c>
      <c r="L295" s="6" t="str">
        <f t="shared" si="47"/>
        <v>presbyteri</v>
      </c>
      <c r="M295" s="6"/>
      <c r="N295" s="1">
        <v>45936</v>
      </c>
      <c r="O295" s="3" t="s">
        <v>471</v>
      </c>
      <c r="P295" s="4" t="s">
        <v>9</v>
      </c>
      <c r="Q295" s="2" t="s">
        <v>253</v>
      </c>
      <c r="R295" s="9" t="s">
        <v>749</v>
      </c>
      <c r="S295" s="2" t="s">
        <v>375</v>
      </c>
    </row>
    <row r="296" spans="1:20" ht="14.4" customHeight="1" x14ac:dyDescent="0.3">
      <c r="A296" s="7" t="str">
        <f t="shared" si="39"/>
        <v>fix.1007.101.marvi</v>
      </c>
      <c r="B296" s="7" t="str">
        <f t="shared" si="40"/>
        <v>101</v>
      </c>
      <c r="C296" s="8" t="str">
        <f t="shared" si="41"/>
        <v>B. Mariæ Virginis a Rosario</v>
      </c>
      <c r="D296" s="8" t="str">
        <f t="shared" si="41"/>
        <v xml:space="preserve">Our Lady of the Rosary </v>
      </c>
      <c r="E296" s="8" t="str">
        <f t="shared" si="42"/>
        <v>묵주 기도의 복되신 동정 마리아 기념일</v>
      </c>
      <c r="F296" s="7" t="s">
        <v>578</v>
      </c>
      <c r="G296" s="7" t="str">
        <f t="shared" si="43"/>
        <v>1007</v>
      </c>
      <c r="H296" s="7" t="str">
        <f t="shared" si="44"/>
        <v>101</v>
      </c>
      <c r="I296" s="7" t="str">
        <f t="shared" si="45"/>
        <v>marvi</v>
      </c>
      <c r="J296" s="6" t="str">
        <f>IFERROR(_xlfn.CONCAT(_xlfn.TEXTSPLIT(SUBSTITUTE(SUBSTITUTE(LOWER(Q296),"æ","ae"), " de ", " "),{"b. ","ss. ","s. ","ss.mi ","in ",".",","," et","sanctae ","ę","ũ"})), "")</f>
        <v>mariae virginis a rosario</v>
      </c>
      <c r="K296" s="6">
        <f t="shared" si="46"/>
        <v>7</v>
      </c>
      <c r="L296" s="6" t="str">
        <f t="shared" si="47"/>
        <v>virginisarosario</v>
      </c>
      <c r="M296" s="6"/>
      <c r="N296" s="1">
        <v>45937</v>
      </c>
      <c r="O296" s="3">
        <v>101</v>
      </c>
      <c r="P296" s="4" t="s">
        <v>8</v>
      </c>
      <c r="Q296" s="2" t="s">
        <v>254</v>
      </c>
      <c r="R296" s="9" t="s">
        <v>750</v>
      </c>
      <c r="S296" s="2" t="s">
        <v>376</v>
      </c>
    </row>
    <row r="297" spans="1:20" ht="14.4" customHeight="1" x14ac:dyDescent="0.3">
      <c r="A297" s="7" t="str">
        <f t="shared" si="39"/>
        <v/>
      </c>
      <c r="B297" s="7" t="str">
        <f t="shared" si="40"/>
        <v/>
      </c>
      <c r="C297" s="8" t="str">
        <f t="shared" si="41"/>
        <v/>
      </c>
      <c r="D297" s="8" t="str">
        <f t="shared" si="41"/>
        <v/>
      </c>
      <c r="E297" s="8" t="str">
        <f t="shared" si="42"/>
        <v/>
      </c>
      <c r="F297" s="7" t="s">
        <v>578</v>
      </c>
      <c r="G297" s="7" t="str">
        <f t="shared" si="43"/>
        <v>1008</v>
      </c>
      <c r="H297" s="7" t="str">
        <f t="shared" si="44"/>
        <v/>
      </c>
      <c r="I297" s="7" t="str">
        <f t="shared" si="45"/>
        <v/>
      </c>
      <c r="J297" s="6" t="str">
        <f>IFERROR(_xlfn.CONCAT(_xlfn.TEXTSPLIT(SUBSTITUTE(SUBSTITUTE(LOWER(Q297),"æ","ae"), " de ", " "),{"b. ","ss. ","s. ","ss.mi ","in ",".",","," et","sanctae ","ę","ũ"})), "")</f>
        <v/>
      </c>
      <c r="K297" s="6" t="str">
        <f t="shared" si="46"/>
        <v/>
      </c>
      <c r="L297" s="6" t="str">
        <f t="shared" si="47"/>
        <v/>
      </c>
      <c r="M297" s="6"/>
      <c r="N297" s="1">
        <v>45938</v>
      </c>
    </row>
    <row r="298" spans="1:20" ht="14.4" customHeight="1" x14ac:dyDescent="0.3">
      <c r="A298" s="7" t="str">
        <f t="shared" si="39"/>
        <v>fix.1009.121.dioep</v>
      </c>
      <c r="B298" s="7" t="str">
        <f t="shared" si="40"/>
        <v>121</v>
      </c>
      <c r="C298" s="8" t="str">
        <f t="shared" si="41"/>
        <v>Ss. Dionysii, episcopi, et sociorum, martyrum</v>
      </c>
      <c r="D298" s="8" t="str">
        <f t="shared" si="41"/>
        <v>St. Denis, Bishop, and Companions, Martyrs</v>
      </c>
      <c r="E298" s="8" t="str">
        <f t="shared" si="42"/>
        <v>성 디오니시오 주교와 동료 순교자들</v>
      </c>
      <c r="F298" s="7" t="s">
        <v>578</v>
      </c>
      <c r="G298" s="7" t="str">
        <f t="shared" si="43"/>
        <v>1009</v>
      </c>
      <c r="H298" s="7" t="str">
        <f t="shared" si="44"/>
        <v>121</v>
      </c>
      <c r="I298" s="7" t="str">
        <f t="shared" si="45"/>
        <v>dioep</v>
      </c>
      <c r="J298" s="6" t="str">
        <f>IFERROR(_xlfn.CONCAT(_xlfn.TEXTSPLIT(SUBSTITUTE(SUBSTITUTE(LOWER(Q298),"æ","ae"), " de ", " "),{"b. ","ss. ","s. ","ss.mi ","in ",".",","," et","sanctae ","ę","ũ"})), "")</f>
        <v>dionysii episcopi sociorum martyrum</v>
      </c>
      <c r="K298" s="6">
        <f t="shared" si="46"/>
        <v>9</v>
      </c>
      <c r="L298" s="6" t="str">
        <f t="shared" si="47"/>
        <v>episcopisociorummartyrum</v>
      </c>
      <c r="M298" s="6"/>
      <c r="N298" s="1">
        <v>45939</v>
      </c>
      <c r="O298" s="3" t="s">
        <v>471</v>
      </c>
      <c r="P298" s="4" t="s">
        <v>9</v>
      </c>
      <c r="Q298" s="2" t="s">
        <v>255</v>
      </c>
      <c r="R298" s="9" t="s">
        <v>751</v>
      </c>
      <c r="S298" s="2" t="s">
        <v>377</v>
      </c>
    </row>
    <row r="299" spans="1:20" ht="14.4" customHeight="1" x14ac:dyDescent="0.3">
      <c r="A299" s="7" t="str">
        <f t="shared" si="39"/>
        <v>fix.1009.121.ioale</v>
      </c>
      <c r="B299" s="7" t="str">
        <f t="shared" si="40"/>
        <v>121</v>
      </c>
      <c r="C299" s="8" t="str">
        <f t="shared" si="41"/>
        <v>S. Ioannis Leonardi, presbyteri</v>
      </c>
      <c r="D299" s="8" t="str">
        <f t="shared" si="41"/>
        <v>St. John Leonardi, Priest</v>
      </c>
      <c r="E299" s="8" t="str">
        <f t="shared" si="42"/>
        <v>성 요한 레오나르디 사제</v>
      </c>
      <c r="F299" s="7" t="s">
        <v>578</v>
      </c>
      <c r="G299" s="7" t="str">
        <f t="shared" si="43"/>
        <v>1009</v>
      </c>
      <c r="H299" s="7" t="str">
        <f t="shared" si="44"/>
        <v>121</v>
      </c>
      <c r="I299" s="7" t="str">
        <f t="shared" si="45"/>
        <v>ioale</v>
      </c>
      <c r="J299" s="6" t="str">
        <f>IFERROR(_xlfn.CONCAT(_xlfn.TEXTSPLIT(SUBSTITUTE(SUBSTITUTE(LOWER(Q299),"æ","ae"), " de ", " "),{"b. ","ss. ","s. ","ss.mi ","in ",".",","," et","sanctae ","ę","ũ"})), "")</f>
        <v>ioannis leonardi presbyteri</v>
      </c>
      <c r="K299" s="6">
        <f t="shared" si="46"/>
        <v>8</v>
      </c>
      <c r="L299" s="6" t="str">
        <f t="shared" si="47"/>
        <v>leonardipresbyteri</v>
      </c>
      <c r="M299" s="6"/>
      <c r="N299" s="1">
        <v>45939</v>
      </c>
      <c r="O299" s="3" t="s">
        <v>471</v>
      </c>
      <c r="P299" s="4" t="s">
        <v>9</v>
      </c>
      <c r="Q299" s="2" t="s">
        <v>256</v>
      </c>
      <c r="R299" s="9" t="s">
        <v>752</v>
      </c>
      <c r="S299" s="2" t="s">
        <v>378</v>
      </c>
    </row>
    <row r="300" spans="1:20" ht="14.4" customHeight="1" x14ac:dyDescent="0.3">
      <c r="A300" s="7" t="str">
        <f t="shared" si="39"/>
        <v/>
      </c>
      <c r="B300" s="7" t="str">
        <f t="shared" si="40"/>
        <v/>
      </c>
      <c r="C300" s="8" t="str">
        <f t="shared" si="41"/>
        <v/>
      </c>
      <c r="D300" s="8" t="str">
        <f t="shared" si="41"/>
        <v/>
      </c>
      <c r="E300" s="8" t="str">
        <f t="shared" si="42"/>
        <v/>
      </c>
      <c r="F300" s="7" t="s">
        <v>578</v>
      </c>
      <c r="G300" s="7" t="str">
        <f t="shared" si="43"/>
        <v>1010</v>
      </c>
      <c r="H300" s="7" t="str">
        <f t="shared" si="44"/>
        <v/>
      </c>
      <c r="I300" s="7" t="str">
        <f t="shared" si="45"/>
        <v/>
      </c>
      <c r="J300" s="6" t="str">
        <f>IFERROR(_xlfn.CONCAT(_xlfn.TEXTSPLIT(SUBSTITUTE(SUBSTITUTE(LOWER(Q300),"æ","ae"), " de ", " "),{"b. ","ss. ","s. ","ss.mi ","in ",".",","," et","sanctae ","ę","ũ"})), "")</f>
        <v/>
      </c>
      <c r="K300" s="6" t="str">
        <f t="shared" si="46"/>
        <v/>
      </c>
      <c r="L300" s="6" t="str">
        <f t="shared" si="47"/>
        <v/>
      </c>
      <c r="M300" s="6"/>
      <c r="N300" s="1">
        <v>45940</v>
      </c>
    </row>
    <row r="301" spans="1:20" ht="14.4" customHeight="1" x14ac:dyDescent="0.3">
      <c r="A301" s="7" t="str">
        <f t="shared" si="39"/>
        <v>fix.1011.121.ioaxx</v>
      </c>
      <c r="B301" s="7" t="str">
        <f t="shared" si="40"/>
        <v>121</v>
      </c>
      <c r="C301" s="8" t="str">
        <f t="shared" si="41"/>
        <v>S. Ioannis XXIII, papæ</v>
      </c>
      <c r="D301" s="8" t="str">
        <f t="shared" si="41"/>
        <v/>
      </c>
      <c r="E301" s="8" t="str">
        <f t="shared" si="42"/>
        <v>성 요한 23세 교황</v>
      </c>
      <c r="F301" s="7" t="s">
        <v>578</v>
      </c>
      <c r="G301" s="7" t="str">
        <f t="shared" si="43"/>
        <v>1011</v>
      </c>
      <c r="H301" s="7" t="str">
        <f t="shared" si="44"/>
        <v>121</v>
      </c>
      <c r="I301" s="7" t="str">
        <f t="shared" si="45"/>
        <v>ioaxx</v>
      </c>
      <c r="J301" s="6" t="str">
        <f>IFERROR(_xlfn.CONCAT(_xlfn.TEXTSPLIT(SUBSTITUTE(SUBSTITUTE(LOWER(Q301),"æ","ae"), " de ", " "),{"b. ","ss. ","s. ","ss.mi ","in ",".",","," et","sanctae ","ę","ũ"})), "")</f>
        <v>ioannis xxiii papae</v>
      </c>
      <c r="K301" s="6">
        <f t="shared" si="46"/>
        <v>8</v>
      </c>
      <c r="L301" s="6" t="str">
        <f t="shared" si="47"/>
        <v>xxiiipapae</v>
      </c>
      <c r="M301" s="6"/>
      <c r="N301" s="1">
        <v>45941</v>
      </c>
      <c r="O301" s="3" t="s">
        <v>471</v>
      </c>
      <c r="P301" s="4" t="s">
        <v>9</v>
      </c>
      <c r="Q301" s="2" t="s">
        <v>392</v>
      </c>
      <c r="S301" s="2" t="s">
        <v>379</v>
      </c>
      <c r="T301" t="s">
        <v>448</v>
      </c>
    </row>
    <row r="302" spans="1:20" ht="14.4" customHeight="1" x14ac:dyDescent="0.3">
      <c r="A302" s="7" t="str">
        <f t="shared" si="39"/>
        <v/>
      </c>
      <c r="B302" s="7" t="str">
        <f t="shared" si="40"/>
        <v/>
      </c>
      <c r="C302" s="8" t="str">
        <f t="shared" si="41"/>
        <v/>
      </c>
      <c r="D302" s="8" t="str">
        <f t="shared" si="41"/>
        <v/>
      </c>
      <c r="E302" s="8" t="str">
        <f t="shared" si="42"/>
        <v/>
      </c>
      <c r="F302" s="7" t="s">
        <v>578</v>
      </c>
      <c r="G302" s="7" t="str">
        <f t="shared" si="43"/>
        <v>1012</v>
      </c>
      <c r="H302" s="7" t="str">
        <f t="shared" si="44"/>
        <v/>
      </c>
      <c r="I302" s="7" t="str">
        <f t="shared" si="45"/>
        <v/>
      </c>
      <c r="J302" s="6" t="str">
        <f>IFERROR(_xlfn.CONCAT(_xlfn.TEXTSPLIT(SUBSTITUTE(SUBSTITUTE(LOWER(Q302),"æ","ae"), " de ", " "),{"b. ","ss. ","s. ","ss.mi ","in ",".",","," et","sanctae ","ę","ũ"})), "")</f>
        <v/>
      </c>
      <c r="K302" s="6" t="str">
        <f t="shared" si="46"/>
        <v/>
      </c>
      <c r="L302" s="6" t="str">
        <f t="shared" si="47"/>
        <v/>
      </c>
      <c r="M302" s="6"/>
      <c r="N302" s="1">
        <v>45942</v>
      </c>
    </row>
    <row r="303" spans="1:20" ht="14.4" customHeight="1" x14ac:dyDescent="0.3">
      <c r="A303" s="7" t="str">
        <f t="shared" si="39"/>
        <v/>
      </c>
      <c r="B303" s="7" t="str">
        <f t="shared" si="40"/>
        <v/>
      </c>
      <c r="C303" s="8" t="str">
        <f t="shared" si="41"/>
        <v/>
      </c>
      <c r="D303" s="8" t="str">
        <f t="shared" si="41"/>
        <v/>
      </c>
      <c r="E303" s="8" t="str">
        <f t="shared" si="42"/>
        <v/>
      </c>
      <c r="F303" s="7" t="s">
        <v>578</v>
      </c>
      <c r="G303" s="7" t="str">
        <f t="shared" si="43"/>
        <v>1013</v>
      </c>
      <c r="H303" s="7" t="str">
        <f t="shared" si="44"/>
        <v/>
      </c>
      <c r="I303" s="7" t="str">
        <f t="shared" si="45"/>
        <v/>
      </c>
      <c r="J303" s="6" t="str">
        <f>IFERROR(_xlfn.CONCAT(_xlfn.TEXTSPLIT(SUBSTITUTE(SUBSTITUTE(LOWER(Q303),"æ","ae"), " de ", " "),{"b. ","ss. ","s. ","ss.mi ","in ",".",","," et","sanctae ","ę","ũ"})), "")</f>
        <v/>
      </c>
      <c r="K303" s="6" t="str">
        <f t="shared" si="46"/>
        <v/>
      </c>
      <c r="L303" s="6" t="str">
        <f t="shared" si="47"/>
        <v/>
      </c>
      <c r="M303" s="6"/>
      <c r="N303" s="1">
        <v>45943</v>
      </c>
    </row>
    <row r="304" spans="1:20" ht="14.4" customHeight="1" x14ac:dyDescent="0.3">
      <c r="A304" s="7" t="str">
        <f t="shared" si="39"/>
        <v>fix.1014.121.calip</v>
      </c>
      <c r="B304" s="7" t="str">
        <f t="shared" si="40"/>
        <v>121</v>
      </c>
      <c r="C304" s="8" t="str">
        <f t="shared" si="41"/>
        <v>S. Callisti I, papæ et martyris</v>
      </c>
      <c r="D304" s="8" t="str">
        <f t="shared" si="41"/>
        <v>St. Callistus I, Pope and Martyr</v>
      </c>
      <c r="E304" s="8" t="str">
        <f t="shared" si="42"/>
        <v>성 갈리스토 1세 교황 순교자</v>
      </c>
      <c r="F304" s="7" t="s">
        <v>578</v>
      </c>
      <c r="G304" s="7" t="str">
        <f t="shared" si="43"/>
        <v>1014</v>
      </c>
      <c r="H304" s="7" t="str">
        <f t="shared" si="44"/>
        <v>121</v>
      </c>
      <c r="I304" s="7" t="str">
        <f t="shared" si="45"/>
        <v>calip</v>
      </c>
      <c r="J304" s="6" t="str">
        <f>IFERROR(_xlfn.CONCAT(_xlfn.TEXTSPLIT(SUBSTITUTE(SUBSTITUTE(LOWER(Q304),"æ","ae"), " de ", " "),{"b. ","ss. ","s. ","ss.mi ","in ",".",","," et","sanctae ","ę","ũ"})), "")</f>
        <v>callisti i papae martyris</v>
      </c>
      <c r="K304" s="6">
        <f t="shared" si="46"/>
        <v>9</v>
      </c>
      <c r="L304" s="6" t="str">
        <f t="shared" si="47"/>
        <v>ipapaemartyris</v>
      </c>
      <c r="M304" s="6"/>
      <c r="N304" s="1">
        <v>45944</v>
      </c>
      <c r="O304" s="3" t="s">
        <v>471</v>
      </c>
      <c r="P304" s="4" t="s">
        <v>9</v>
      </c>
      <c r="Q304" s="2" t="s">
        <v>257</v>
      </c>
      <c r="R304" s="9" t="s">
        <v>753</v>
      </c>
      <c r="S304" s="2" t="s">
        <v>380</v>
      </c>
    </row>
    <row r="305" spans="1:20" ht="14.4" customHeight="1" x14ac:dyDescent="0.3">
      <c r="A305" s="7" t="str">
        <f t="shared" si="39"/>
        <v>fix.1015.101.terai</v>
      </c>
      <c r="B305" s="7" t="str">
        <f t="shared" si="40"/>
        <v>101</v>
      </c>
      <c r="C305" s="8" t="str">
        <f t="shared" si="41"/>
        <v>S. Teresiæ a Iesu, virginis et Ecclesiæ doctoris</v>
      </c>
      <c r="D305" s="8" t="str">
        <f t="shared" si="41"/>
        <v xml:space="preserve">St. Teresa of Jesus, Virgin and Doctor of the Church </v>
      </c>
      <c r="E305" s="8" t="str">
        <f t="shared" si="42"/>
        <v>예수의 성녀 데레사 동정 학자 기념일</v>
      </c>
      <c r="F305" s="7" t="s">
        <v>578</v>
      </c>
      <c r="G305" s="7" t="str">
        <f t="shared" si="43"/>
        <v>1015</v>
      </c>
      <c r="H305" s="7" t="str">
        <f t="shared" si="44"/>
        <v>101</v>
      </c>
      <c r="I305" s="7" t="str">
        <f t="shared" si="45"/>
        <v>terai</v>
      </c>
      <c r="J305" s="6" t="str">
        <f>IFERROR(_xlfn.CONCAT(_xlfn.TEXTSPLIT(SUBSTITUTE(SUBSTITUTE(LOWER(Q305),"æ","ae"), " de ", " "),{"b. ","ss. ","s. ","ss.mi ","in ",".",","," et","sanctae ","ę","ũ"})), "")</f>
        <v>teresiae a iesu virginis ecclesiae doctoris</v>
      </c>
      <c r="K305" s="6">
        <f t="shared" si="46"/>
        <v>9</v>
      </c>
      <c r="L305" s="6" t="str">
        <f t="shared" si="47"/>
        <v>aiesuvirginisecclesiaedoctoris</v>
      </c>
      <c r="M305" s="6"/>
      <c r="N305" s="1">
        <v>45945</v>
      </c>
      <c r="O305" s="3">
        <v>101</v>
      </c>
      <c r="P305" s="4" t="s">
        <v>8</v>
      </c>
      <c r="Q305" s="2" t="s">
        <v>258</v>
      </c>
      <c r="R305" s="9" t="s">
        <v>754</v>
      </c>
      <c r="S305" s="2" t="s">
        <v>381</v>
      </c>
    </row>
    <row r="306" spans="1:20" ht="14.4" customHeight="1" x14ac:dyDescent="0.3">
      <c r="A306" s="7" t="str">
        <f t="shared" si="39"/>
        <v>fix.1016.121.hedre</v>
      </c>
      <c r="B306" s="7" t="str">
        <f t="shared" si="40"/>
        <v>121</v>
      </c>
      <c r="C306" s="8" t="str">
        <f t="shared" si="41"/>
        <v>S. Hedvigis, religiosæ</v>
      </c>
      <c r="D306" s="8" t="str">
        <f t="shared" si="41"/>
        <v>St. Hedwig, Religious</v>
      </c>
      <c r="E306" s="8" t="str">
        <f t="shared" si="42"/>
        <v>성녀 헤드비제스 수도자</v>
      </c>
      <c r="F306" s="7" t="s">
        <v>578</v>
      </c>
      <c r="G306" s="7" t="str">
        <f t="shared" si="43"/>
        <v>1016</v>
      </c>
      <c r="H306" s="7" t="str">
        <f t="shared" si="44"/>
        <v>121</v>
      </c>
      <c r="I306" s="7" t="str">
        <f t="shared" si="45"/>
        <v>hedre</v>
      </c>
      <c r="J306" s="6" t="str">
        <f>IFERROR(_xlfn.CONCAT(_xlfn.TEXTSPLIT(SUBSTITUTE(SUBSTITUTE(LOWER(Q306),"æ","ae"), " de ", " "),{"b. ","ss. ","s. ","ss.mi ","in ",".",","," et","sanctae ","ę","ũ"})), "")</f>
        <v>hedvigis religiosae</v>
      </c>
      <c r="K306" s="6">
        <f t="shared" si="46"/>
        <v>9</v>
      </c>
      <c r="L306" s="6" t="str">
        <f t="shared" si="47"/>
        <v>religiosae</v>
      </c>
      <c r="M306" s="6"/>
      <c r="N306" s="1">
        <v>45946</v>
      </c>
      <c r="O306" s="3" t="s">
        <v>471</v>
      </c>
      <c r="P306" s="4" t="s">
        <v>9</v>
      </c>
      <c r="Q306" s="2" t="s">
        <v>259</v>
      </c>
      <c r="R306" s="9" t="s">
        <v>755</v>
      </c>
      <c r="S306" s="2" t="s">
        <v>382</v>
      </c>
    </row>
    <row r="307" spans="1:20" ht="14.4" customHeight="1" x14ac:dyDescent="0.3">
      <c r="A307" s="7" t="str">
        <f t="shared" si="39"/>
        <v>fix.1016.121.marma</v>
      </c>
      <c r="B307" s="7" t="str">
        <f t="shared" si="40"/>
        <v>121</v>
      </c>
      <c r="C307" s="8" t="str">
        <f t="shared" si="41"/>
        <v>S. Margaritæ Mariæ Alacoque, virginis</v>
      </c>
      <c r="D307" s="8" t="str">
        <f t="shared" si="41"/>
        <v>St. Margaret Mary Alacoque, Virgin</v>
      </c>
      <c r="E307" s="8" t="str">
        <f t="shared" si="42"/>
        <v>성녀 마르가리타 마리아 알라코크 동정</v>
      </c>
      <c r="F307" s="7" t="s">
        <v>578</v>
      </c>
      <c r="G307" s="7" t="str">
        <f t="shared" si="43"/>
        <v>1016</v>
      </c>
      <c r="H307" s="7" t="str">
        <f t="shared" si="44"/>
        <v>121</v>
      </c>
      <c r="I307" s="7" t="str">
        <f t="shared" si="45"/>
        <v>marma</v>
      </c>
      <c r="J307" s="6" t="str">
        <f>IFERROR(_xlfn.CONCAT(_xlfn.TEXTSPLIT(SUBSTITUTE(SUBSTITUTE(LOWER(Q307),"æ","ae"), " de ", " "),{"b. ","ss. ","s. ","ss.mi ","in ",".",","," et","sanctae ","ę","ũ"})), "")</f>
        <v>margaritae mariae alacoque virginis</v>
      </c>
      <c r="K307" s="6">
        <f t="shared" si="46"/>
        <v>11</v>
      </c>
      <c r="L307" s="6" t="str">
        <f t="shared" si="47"/>
        <v>mariaealacoquevirginis</v>
      </c>
      <c r="M307" s="6"/>
      <c r="N307" s="1">
        <v>45946</v>
      </c>
      <c r="O307" s="3" t="s">
        <v>471</v>
      </c>
      <c r="P307" s="4" t="s">
        <v>9</v>
      </c>
      <c r="Q307" s="2" t="s">
        <v>260</v>
      </c>
      <c r="R307" s="9" t="s">
        <v>756</v>
      </c>
      <c r="S307" s="2" t="s">
        <v>383</v>
      </c>
    </row>
    <row r="308" spans="1:20" ht="14.4" customHeight="1" x14ac:dyDescent="0.3">
      <c r="A308" s="7" t="str">
        <f t="shared" si="39"/>
        <v>fix.1017.101.ignan</v>
      </c>
      <c r="B308" s="7" t="str">
        <f t="shared" si="40"/>
        <v>101</v>
      </c>
      <c r="C308" s="8" t="str">
        <f t="shared" si="41"/>
        <v>S. Ignatii Antiocheni, episcopi et martyris</v>
      </c>
      <c r="D308" s="8" t="str">
        <f t="shared" si="41"/>
        <v xml:space="preserve">St. Ignatius of Antioch, Bishop and Martyr </v>
      </c>
      <c r="E308" s="8" t="str">
        <f t="shared" si="42"/>
        <v>안티오키아의 성 이냐시오 주교 순교자 기념일</v>
      </c>
      <c r="F308" s="7" t="s">
        <v>578</v>
      </c>
      <c r="G308" s="7" t="str">
        <f t="shared" si="43"/>
        <v>1017</v>
      </c>
      <c r="H308" s="7" t="str">
        <f t="shared" si="44"/>
        <v>101</v>
      </c>
      <c r="I308" s="7" t="str">
        <f t="shared" si="45"/>
        <v>ignan</v>
      </c>
      <c r="J308" s="6" t="str">
        <f>IFERROR(_xlfn.CONCAT(_xlfn.TEXTSPLIT(SUBSTITUTE(SUBSTITUTE(LOWER(Q308),"æ","ae"), " de ", " "),{"b. ","ss. ","s. ","ss.mi ","in ",".",","," et","sanctae ","ę","ũ"})), "")</f>
        <v>ignatii antiocheni episcopi martyris</v>
      </c>
      <c r="K308" s="6">
        <f t="shared" si="46"/>
        <v>8</v>
      </c>
      <c r="L308" s="6" t="str">
        <f t="shared" si="47"/>
        <v>antiocheniepiscopimartyris</v>
      </c>
      <c r="M308" s="6"/>
      <c r="N308" s="1">
        <v>45947</v>
      </c>
      <c r="O308" s="3">
        <v>101</v>
      </c>
      <c r="P308" s="4" t="s">
        <v>8</v>
      </c>
      <c r="Q308" s="2" t="s">
        <v>261</v>
      </c>
      <c r="R308" s="9" t="s">
        <v>757</v>
      </c>
      <c r="S308" s="2" t="s">
        <v>384</v>
      </c>
    </row>
    <row r="309" spans="1:20" ht="14.4" customHeight="1" x14ac:dyDescent="0.3">
      <c r="A309" s="7" t="str">
        <f t="shared" si="39"/>
        <v>fix.1018.071.lucev</v>
      </c>
      <c r="B309" s="7" t="str">
        <f t="shared" si="40"/>
        <v>071</v>
      </c>
      <c r="C309" s="8" t="str">
        <f t="shared" si="41"/>
        <v>S. Lucæ, evangelistæ</v>
      </c>
      <c r="D309" s="8" t="str">
        <f t="shared" si="41"/>
        <v xml:space="preserve">St. Luke, Evangelist </v>
      </c>
      <c r="E309" s="8" t="str">
        <f t="shared" si="42"/>
        <v>성 루카 복음사가 축일</v>
      </c>
      <c r="F309" s="7" t="s">
        <v>578</v>
      </c>
      <c r="G309" s="7" t="str">
        <f t="shared" si="43"/>
        <v>1018</v>
      </c>
      <c r="H309" s="7" t="str">
        <f t="shared" si="44"/>
        <v>071</v>
      </c>
      <c r="I309" s="7" t="str">
        <f t="shared" si="45"/>
        <v>lucev</v>
      </c>
      <c r="J309" s="6" t="str">
        <f>IFERROR(_xlfn.CONCAT(_xlfn.TEXTSPLIT(SUBSTITUTE(SUBSTITUTE(LOWER(Q309),"æ","ae"), " de ", " "),{"b. ","ss. ","s. ","ss.mi ","in ",".",","," et","sanctae ","ę","ũ"})), "")</f>
        <v>lucae evangelistae</v>
      </c>
      <c r="K309" s="6">
        <f t="shared" si="46"/>
        <v>6</v>
      </c>
      <c r="L309" s="6" t="str">
        <f t="shared" si="47"/>
        <v>evangelistae</v>
      </c>
      <c r="M309" s="6"/>
      <c r="N309" s="1">
        <v>45948</v>
      </c>
      <c r="O309" s="3" t="s">
        <v>463</v>
      </c>
      <c r="P309" s="4" t="s">
        <v>20</v>
      </c>
      <c r="Q309" s="2" t="s">
        <v>262</v>
      </c>
      <c r="R309" s="9" t="s">
        <v>758</v>
      </c>
      <c r="S309" s="2" t="s">
        <v>385</v>
      </c>
    </row>
    <row r="310" spans="1:20" ht="14.4" customHeight="1" x14ac:dyDescent="0.3">
      <c r="A310" s="7" t="str">
        <f t="shared" si="39"/>
        <v>fix.1019.121.ioabr</v>
      </c>
      <c r="B310" s="7" t="str">
        <f t="shared" si="40"/>
        <v>121</v>
      </c>
      <c r="C310" s="8" t="str">
        <f t="shared" si="41"/>
        <v>Ss. Ioannis de Brébeuf et Isaac Jogues, presbyterorum, et sociorum, martyrum</v>
      </c>
      <c r="D310" s="8" t="str">
        <f t="shared" si="41"/>
        <v xml:space="preserve">Sts. John de Brébeuf and Isaac Jogues, Priests, and Companions, Martyrs </v>
      </c>
      <c r="E310" s="8" t="str">
        <f t="shared" si="42"/>
        <v>성 요한 드 브레뵈프, 성 이사악 조그 사제와 동료 순교자들</v>
      </c>
      <c r="F310" s="7" t="s">
        <v>578</v>
      </c>
      <c r="G310" s="7" t="str">
        <f t="shared" si="43"/>
        <v>1019</v>
      </c>
      <c r="H310" s="7" t="str">
        <f t="shared" si="44"/>
        <v>121</v>
      </c>
      <c r="I310" s="7" t="str">
        <f t="shared" si="45"/>
        <v>ioabr</v>
      </c>
      <c r="J310" s="6" t="str">
        <f>IFERROR(_xlfn.CONCAT(_xlfn.TEXTSPLIT(SUBSTITUTE(SUBSTITUTE(LOWER(Q310),"æ","ae"), " de ", " "),{"b. ","ss. ","s. ","ss.mi ","in ",".",","," et","sanctae ","ę","ũ"})), "")</f>
        <v>ioannis brébeuf isaac jogues presbyterorum sociorum martyrum</v>
      </c>
      <c r="K310" s="6">
        <f t="shared" si="46"/>
        <v>8</v>
      </c>
      <c r="L310" s="6" t="str">
        <f t="shared" si="47"/>
        <v>brébeufisaacjoguespresbyterorumsociorummartyrum</v>
      </c>
      <c r="M310" s="6"/>
      <c r="N310" s="1">
        <v>45949</v>
      </c>
      <c r="O310" s="3" t="s">
        <v>471</v>
      </c>
      <c r="P310" s="4" t="s">
        <v>9</v>
      </c>
      <c r="Q310" s="2" t="s">
        <v>263</v>
      </c>
      <c r="R310" s="9" t="s">
        <v>759</v>
      </c>
      <c r="S310" s="2" t="s">
        <v>386</v>
      </c>
    </row>
    <row r="311" spans="1:20" ht="14.4" customHeight="1" x14ac:dyDescent="0.3">
      <c r="A311" s="7" t="str">
        <f t="shared" si="39"/>
        <v>fix.1019.121.pauac</v>
      </c>
      <c r="B311" s="7" t="str">
        <f t="shared" si="40"/>
        <v>121</v>
      </c>
      <c r="C311" s="8" t="str">
        <f t="shared" si="41"/>
        <v>S. Pauli a Cruce, presbyteri</v>
      </c>
      <c r="D311" s="8" t="str">
        <f t="shared" si="41"/>
        <v>St. Paul of the Cross, Priest</v>
      </c>
      <c r="E311" s="8" t="str">
        <f t="shared" si="42"/>
        <v>십자가의 성 바오로 사제</v>
      </c>
      <c r="F311" s="7" t="s">
        <v>578</v>
      </c>
      <c r="G311" s="7" t="str">
        <f t="shared" si="43"/>
        <v>1019</v>
      </c>
      <c r="H311" s="7" t="str">
        <f t="shared" si="44"/>
        <v>121</v>
      </c>
      <c r="I311" s="7" t="str">
        <f t="shared" si="45"/>
        <v>pauac</v>
      </c>
      <c r="J311" s="6" t="str">
        <f>IFERROR(_xlfn.CONCAT(_xlfn.TEXTSPLIT(SUBSTITUTE(SUBSTITUTE(LOWER(Q311),"æ","ae"), " de ", " "),{"b. ","ss. ","s. ","ss.mi ","in ",".",","," et","sanctae ","ę","ũ"})), "")</f>
        <v>pauli a cruce presbyteri</v>
      </c>
      <c r="K311" s="6">
        <f t="shared" si="46"/>
        <v>6</v>
      </c>
      <c r="L311" s="6" t="str">
        <f t="shared" si="47"/>
        <v>acrucepresbyteri</v>
      </c>
      <c r="M311" s="6"/>
      <c r="N311" s="1">
        <v>45949</v>
      </c>
      <c r="O311" s="3" t="s">
        <v>471</v>
      </c>
      <c r="P311" s="4" t="s">
        <v>9</v>
      </c>
      <c r="Q311" s="2" t="s">
        <v>264</v>
      </c>
      <c r="R311" s="9" t="s">
        <v>760</v>
      </c>
      <c r="S311" s="2" t="s">
        <v>387</v>
      </c>
    </row>
    <row r="312" spans="1:20" ht="14.4" customHeight="1" x14ac:dyDescent="0.3">
      <c r="A312" s="7" t="str">
        <f t="shared" si="39"/>
        <v/>
      </c>
      <c r="B312" s="7" t="str">
        <f t="shared" si="40"/>
        <v/>
      </c>
      <c r="C312" s="8" t="str">
        <f t="shared" si="41"/>
        <v/>
      </c>
      <c r="D312" s="8" t="str">
        <f t="shared" si="41"/>
        <v/>
      </c>
      <c r="E312" s="8" t="str">
        <f t="shared" si="42"/>
        <v/>
      </c>
      <c r="F312" s="7" t="s">
        <v>578</v>
      </c>
      <c r="G312" s="7" t="str">
        <f t="shared" si="43"/>
        <v>1020</v>
      </c>
      <c r="H312" s="7" t="str">
        <f t="shared" si="44"/>
        <v/>
      </c>
      <c r="I312" s="7" t="str">
        <f t="shared" si="45"/>
        <v/>
      </c>
      <c r="J312" s="6" t="str">
        <f>IFERROR(_xlfn.CONCAT(_xlfn.TEXTSPLIT(SUBSTITUTE(SUBSTITUTE(LOWER(Q312),"æ","ae"), " de ", " "),{"b. ","ss. ","s. ","ss.mi ","in ",".",","," et","sanctae ","ę","ũ"})), "")</f>
        <v/>
      </c>
      <c r="K312" s="6" t="str">
        <f t="shared" si="46"/>
        <v/>
      </c>
      <c r="L312" s="6" t="str">
        <f t="shared" si="47"/>
        <v/>
      </c>
      <c r="M312" s="6"/>
      <c r="N312" s="1">
        <v>45950</v>
      </c>
    </row>
    <row r="313" spans="1:20" ht="14.4" customHeight="1" x14ac:dyDescent="0.3">
      <c r="A313" s="7" t="str">
        <f t="shared" si="39"/>
        <v/>
      </c>
      <c r="B313" s="7" t="str">
        <f t="shared" si="40"/>
        <v/>
      </c>
      <c r="C313" s="8" t="str">
        <f t="shared" si="41"/>
        <v/>
      </c>
      <c r="D313" s="8" t="str">
        <f t="shared" si="41"/>
        <v/>
      </c>
      <c r="E313" s="8" t="str">
        <f t="shared" si="42"/>
        <v/>
      </c>
      <c r="F313" s="7" t="s">
        <v>578</v>
      </c>
      <c r="G313" s="7" t="str">
        <f t="shared" si="43"/>
        <v>1021</v>
      </c>
      <c r="H313" s="7" t="str">
        <f t="shared" si="44"/>
        <v/>
      </c>
      <c r="I313" s="7" t="str">
        <f t="shared" si="45"/>
        <v/>
      </c>
      <c r="J313" s="6" t="str">
        <f>IFERROR(_xlfn.CONCAT(_xlfn.TEXTSPLIT(SUBSTITUTE(SUBSTITUTE(LOWER(Q313),"æ","ae"), " de ", " "),{"b. ","ss. ","s. ","ss.mi ","in ",".",","," et","sanctae ","ę","ũ"})), "")</f>
        <v/>
      </c>
      <c r="K313" s="6" t="str">
        <f t="shared" si="46"/>
        <v/>
      </c>
      <c r="L313" s="6" t="str">
        <f t="shared" si="47"/>
        <v/>
      </c>
      <c r="M313" s="6"/>
      <c r="N313" s="1">
        <v>45951</v>
      </c>
    </row>
    <row r="314" spans="1:20" ht="14.4" customHeight="1" x14ac:dyDescent="0.3">
      <c r="A314" s="7" t="str">
        <f t="shared" si="39"/>
        <v>fix.1022.121.ioapa</v>
      </c>
      <c r="B314" s="7" t="str">
        <f t="shared" si="40"/>
        <v>121</v>
      </c>
      <c r="C314" s="8" t="str">
        <f t="shared" si="41"/>
        <v>S. Ioannis Pauli II, papæ</v>
      </c>
      <c r="D314" s="8" t="str">
        <f t="shared" si="41"/>
        <v/>
      </c>
      <c r="E314" s="8" t="str">
        <f t="shared" si="42"/>
        <v>성 요한 바오로 2세 교황</v>
      </c>
      <c r="F314" s="7" t="s">
        <v>578</v>
      </c>
      <c r="G314" s="7" t="str">
        <f t="shared" si="43"/>
        <v>1022</v>
      </c>
      <c r="H314" s="7" t="str">
        <f t="shared" si="44"/>
        <v>121</v>
      </c>
      <c r="I314" s="7" t="str">
        <f t="shared" si="45"/>
        <v>ioapa</v>
      </c>
      <c r="J314" s="6" t="str">
        <f>IFERROR(_xlfn.CONCAT(_xlfn.TEXTSPLIT(SUBSTITUTE(SUBSTITUTE(LOWER(Q314),"æ","ae"), " de ", " "),{"b. ","ss. ","s. ","ss.mi ","in ",".",","," et","sanctae ","ę","ũ"})), "")</f>
        <v>ioannis pauli ii papae</v>
      </c>
      <c r="K314" s="6">
        <f t="shared" si="46"/>
        <v>8</v>
      </c>
      <c r="L314" s="6" t="str">
        <f t="shared" si="47"/>
        <v>pauliiipapae</v>
      </c>
      <c r="M314" s="6"/>
      <c r="N314" s="1">
        <v>45952</v>
      </c>
      <c r="O314" s="3" t="s">
        <v>471</v>
      </c>
      <c r="P314" s="4" t="s">
        <v>9</v>
      </c>
      <c r="Q314" s="2" t="s">
        <v>393</v>
      </c>
      <c r="S314" s="2" t="s">
        <v>388</v>
      </c>
      <c r="T314" t="s">
        <v>448</v>
      </c>
    </row>
    <row r="315" spans="1:20" ht="14.4" customHeight="1" x14ac:dyDescent="0.3">
      <c r="A315" s="7" t="str">
        <f t="shared" si="39"/>
        <v>fix.1023.121.ioaca</v>
      </c>
      <c r="B315" s="7" t="str">
        <f t="shared" si="40"/>
        <v>121</v>
      </c>
      <c r="C315" s="8" t="str">
        <f t="shared" si="41"/>
        <v>S. Ioannis de Capestrano, presbyteri</v>
      </c>
      <c r="D315" s="8" t="str">
        <f t="shared" si="41"/>
        <v>St. John of Capestrano, Priest</v>
      </c>
      <c r="E315" s="8" t="str">
        <f t="shared" si="42"/>
        <v>카페스트라노의 성 요한 사제</v>
      </c>
      <c r="F315" s="7" t="s">
        <v>578</v>
      </c>
      <c r="G315" s="7" t="str">
        <f t="shared" si="43"/>
        <v>1023</v>
      </c>
      <c r="H315" s="7" t="str">
        <f t="shared" si="44"/>
        <v>121</v>
      </c>
      <c r="I315" s="7" t="str">
        <f t="shared" si="45"/>
        <v>ioaca</v>
      </c>
      <c r="J315" s="6" t="str">
        <f>IFERROR(_xlfn.CONCAT(_xlfn.TEXTSPLIT(SUBSTITUTE(SUBSTITUTE(LOWER(Q315),"æ","ae"), " de ", " "),{"b. ","ss. ","s. ","ss.mi ","in ",".",","," et","sanctae ","ę","ũ"})), "")</f>
        <v>ioannis capestrano presbyteri</v>
      </c>
      <c r="K315" s="6">
        <f t="shared" si="46"/>
        <v>8</v>
      </c>
      <c r="L315" s="6" t="str">
        <f t="shared" si="47"/>
        <v>capestranopresbyteri</v>
      </c>
      <c r="M315" s="6"/>
      <c r="N315" s="1">
        <v>45953</v>
      </c>
      <c r="O315" s="3" t="s">
        <v>471</v>
      </c>
      <c r="P315" s="4" t="s">
        <v>9</v>
      </c>
      <c r="Q315" s="2" t="s">
        <v>265</v>
      </c>
      <c r="R315" s="9" t="s">
        <v>761</v>
      </c>
      <c r="S315" s="2" t="s">
        <v>389</v>
      </c>
    </row>
    <row r="316" spans="1:20" ht="14.4" customHeight="1" x14ac:dyDescent="0.3">
      <c r="A316" s="7" t="str">
        <f t="shared" si="39"/>
        <v>fix.1024.121.antma</v>
      </c>
      <c r="B316" s="7" t="str">
        <f t="shared" si="40"/>
        <v>121</v>
      </c>
      <c r="C316" s="8" t="str">
        <f t="shared" si="41"/>
        <v>S. Antonii Mariæ Claret, episcopi</v>
      </c>
      <c r="D316" s="8" t="str">
        <f t="shared" si="41"/>
        <v>St. Anthony Mary Claret, Bishop</v>
      </c>
      <c r="E316" s="8" t="str">
        <f t="shared" si="42"/>
        <v>성 안토니오 마리아 클라렛 주교</v>
      </c>
      <c r="F316" s="7" t="s">
        <v>578</v>
      </c>
      <c r="G316" s="7" t="str">
        <f t="shared" si="43"/>
        <v>1024</v>
      </c>
      <c r="H316" s="7" t="str">
        <f t="shared" si="44"/>
        <v>121</v>
      </c>
      <c r="I316" s="7" t="str">
        <f t="shared" si="45"/>
        <v>antma</v>
      </c>
      <c r="J316" s="6" t="str">
        <f>IFERROR(_xlfn.CONCAT(_xlfn.TEXTSPLIT(SUBSTITUTE(SUBSTITUTE(LOWER(Q316),"æ","ae"), " de ", " "),{"b. ","ss. ","s. ","ss.mi ","in ",".",","," et","sanctae ","ę","ũ"})), "")</f>
        <v>antonii mariae claret episcopi</v>
      </c>
      <c r="K316" s="6">
        <f t="shared" si="46"/>
        <v>8</v>
      </c>
      <c r="L316" s="6" t="str">
        <f t="shared" si="47"/>
        <v>mariaeclaretepiscopi</v>
      </c>
      <c r="M316" s="6"/>
      <c r="N316" s="1">
        <v>45954</v>
      </c>
      <c r="O316" s="3" t="s">
        <v>471</v>
      </c>
      <c r="P316" s="4" t="s">
        <v>9</v>
      </c>
      <c r="Q316" s="2" t="s">
        <v>266</v>
      </c>
      <c r="R316" s="9" t="s">
        <v>762</v>
      </c>
      <c r="S316" s="2" t="s">
        <v>390</v>
      </c>
    </row>
    <row r="317" spans="1:20" ht="14.4" customHeight="1" x14ac:dyDescent="0.3">
      <c r="A317" s="7" t="str">
        <f t="shared" si="39"/>
        <v/>
      </c>
      <c r="B317" s="7" t="str">
        <f t="shared" si="40"/>
        <v/>
      </c>
      <c r="C317" s="8" t="str">
        <f t="shared" si="41"/>
        <v/>
      </c>
      <c r="D317" s="8" t="str">
        <f t="shared" si="41"/>
        <v/>
      </c>
      <c r="E317" s="8" t="str">
        <f t="shared" si="42"/>
        <v/>
      </c>
      <c r="F317" s="7" t="s">
        <v>578</v>
      </c>
      <c r="G317" s="7" t="str">
        <f t="shared" si="43"/>
        <v>1025</v>
      </c>
      <c r="H317" s="7" t="str">
        <f t="shared" si="44"/>
        <v/>
      </c>
      <c r="I317" s="7" t="str">
        <f t="shared" si="45"/>
        <v/>
      </c>
      <c r="J317" s="6" t="str">
        <f>IFERROR(_xlfn.CONCAT(_xlfn.TEXTSPLIT(SUBSTITUTE(SUBSTITUTE(LOWER(Q317),"æ","ae"), " de ", " "),{"b. ","ss. ","s. ","ss.mi ","in ",".",","," et","sanctae ","ę","ũ"})), "")</f>
        <v/>
      </c>
      <c r="K317" s="6" t="str">
        <f t="shared" si="46"/>
        <v/>
      </c>
      <c r="L317" s="6" t="str">
        <f t="shared" si="47"/>
        <v/>
      </c>
      <c r="M317" s="6"/>
      <c r="N317" s="1">
        <v>45955</v>
      </c>
    </row>
    <row r="318" spans="1:20" ht="14.4" customHeight="1" x14ac:dyDescent="0.3">
      <c r="A318" s="7" t="str">
        <f t="shared" si="39"/>
        <v/>
      </c>
      <c r="B318" s="7" t="str">
        <f t="shared" si="40"/>
        <v/>
      </c>
      <c r="C318" s="8" t="str">
        <f t="shared" si="41"/>
        <v/>
      </c>
      <c r="D318" s="8" t="str">
        <f t="shared" si="41"/>
        <v/>
      </c>
      <c r="E318" s="8" t="str">
        <f t="shared" si="42"/>
        <v/>
      </c>
      <c r="F318" s="7" t="s">
        <v>578</v>
      </c>
      <c r="G318" s="7" t="str">
        <f t="shared" si="43"/>
        <v>1026</v>
      </c>
      <c r="H318" s="7" t="str">
        <f t="shared" si="44"/>
        <v/>
      </c>
      <c r="I318" s="7" t="str">
        <f t="shared" si="45"/>
        <v/>
      </c>
      <c r="J318" s="6" t="str">
        <f>IFERROR(_xlfn.CONCAT(_xlfn.TEXTSPLIT(SUBSTITUTE(SUBSTITUTE(LOWER(Q318),"æ","ae"), " de ", " "),{"b. ","ss. ","s. ","ss.mi ","in ",".",","," et","sanctae ","ę","ũ"})), "")</f>
        <v/>
      </c>
      <c r="K318" s="6" t="str">
        <f t="shared" si="46"/>
        <v/>
      </c>
      <c r="L318" s="6" t="str">
        <f t="shared" si="47"/>
        <v/>
      </c>
      <c r="M318" s="6"/>
      <c r="N318" s="1">
        <v>45956</v>
      </c>
    </row>
    <row r="319" spans="1:20" ht="14.4" customHeight="1" x14ac:dyDescent="0.3">
      <c r="A319" s="7" t="str">
        <f t="shared" si="39"/>
        <v/>
      </c>
      <c r="B319" s="7" t="str">
        <f t="shared" si="40"/>
        <v/>
      </c>
      <c r="C319" s="8" t="str">
        <f t="shared" si="41"/>
        <v/>
      </c>
      <c r="D319" s="8" t="str">
        <f t="shared" si="41"/>
        <v/>
      </c>
      <c r="E319" s="8" t="str">
        <f t="shared" si="42"/>
        <v/>
      </c>
      <c r="F319" s="7" t="s">
        <v>578</v>
      </c>
      <c r="G319" s="7" t="str">
        <f t="shared" si="43"/>
        <v>1027</v>
      </c>
      <c r="H319" s="7" t="str">
        <f t="shared" si="44"/>
        <v/>
      </c>
      <c r="I319" s="7" t="str">
        <f t="shared" si="45"/>
        <v/>
      </c>
      <c r="J319" s="6" t="str">
        <f>IFERROR(_xlfn.CONCAT(_xlfn.TEXTSPLIT(SUBSTITUTE(SUBSTITUTE(LOWER(Q319),"æ","ae"), " de ", " "),{"b. ","ss. ","s. ","ss.mi ","in ",".",","," et","sanctae ","ę","ũ"})), "")</f>
        <v/>
      </c>
      <c r="K319" s="6" t="str">
        <f t="shared" si="46"/>
        <v/>
      </c>
      <c r="L319" s="6" t="str">
        <f t="shared" si="47"/>
        <v/>
      </c>
      <c r="M319" s="6"/>
      <c r="N319" s="1">
        <v>45957</v>
      </c>
    </row>
    <row r="320" spans="1:20" ht="14.4" customHeight="1" x14ac:dyDescent="0.3">
      <c r="A320" s="7" t="str">
        <f t="shared" si="39"/>
        <v>fix.1028.071.simiu</v>
      </c>
      <c r="B320" s="7" t="str">
        <f t="shared" si="40"/>
        <v>071</v>
      </c>
      <c r="C320" s="8" t="str">
        <f t="shared" si="41"/>
        <v>Ss. Simonis et Iudæ, apostolorum</v>
      </c>
      <c r="D320" s="8" t="str">
        <f t="shared" si="41"/>
        <v xml:space="preserve">Sts. Simon and Jude, Apostles </v>
      </c>
      <c r="E320" s="8" t="str">
        <f t="shared" si="42"/>
        <v>성 시몬과 성 유다(타대오) 사도 축일</v>
      </c>
      <c r="F320" s="7" t="s">
        <v>578</v>
      </c>
      <c r="G320" s="7" t="str">
        <f t="shared" si="43"/>
        <v>1028</v>
      </c>
      <c r="H320" s="7" t="str">
        <f t="shared" si="44"/>
        <v>071</v>
      </c>
      <c r="I320" s="7" t="str">
        <f t="shared" si="45"/>
        <v>simiu</v>
      </c>
      <c r="J320" s="6" t="str">
        <f>IFERROR(_xlfn.CONCAT(_xlfn.TEXTSPLIT(SUBSTITUTE(SUBSTITUTE(LOWER(Q320),"æ","ae"), " de ", " "),{"b. ","ss. ","s. ","ss.mi ","in ",".",","," et","sanctae ","ę","ũ"})), "")</f>
        <v>simonis iudae apostolorum</v>
      </c>
      <c r="K320" s="6">
        <f t="shared" si="46"/>
        <v>8</v>
      </c>
      <c r="L320" s="6" t="str">
        <f t="shared" si="47"/>
        <v>iudaeapostolorum</v>
      </c>
      <c r="M320" s="6"/>
      <c r="N320" s="1">
        <v>45958</v>
      </c>
      <c r="O320" s="3" t="s">
        <v>463</v>
      </c>
      <c r="P320" s="4" t="s">
        <v>20</v>
      </c>
      <c r="Q320" s="2" t="s">
        <v>267</v>
      </c>
      <c r="R320" s="9" t="s">
        <v>763</v>
      </c>
      <c r="S320" s="2" t="s">
        <v>391</v>
      </c>
    </row>
    <row r="321" spans="1:19" ht="14.4" customHeight="1" x14ac:dyDescent="0.3">
      <c r="A321" s="7" t="str">
        <f t="shared" si="39"/>
        <v/>
      </c>
      <c r="B321" s="7" t="str">
        <f t="shared" si="40"/>
        <v/>
      </c>
      <c r="C321" s="8" t="str">
        <f t="shared" si="41"/>
        <v/>
      </c>
      <c r="D321" s="8" t="str">
        <f t="shared" si="41"/>
        <v/>
      </c>
      <c r="E321" s="8" t="str">
        <f t="shared" si="42"/>
        <v/>
      </c>
      <c r="F321" s="7" t="s">
        <v>578</v>
      </c>
      <c r="G321" s="7" t="str">
        <f t="shared" si="43"/>
        <v>1029</v>
      </c>
      <c r="H321" s="7" t="str">
        <f t="shared" si="44"/>
        <v/>
      </c>
      <c r="I321" s="7" t="str">
        <f t="shared" si="45"/>
        <v/>
      </c>
      <c r="J321" s="6" t="str">
        <f>IFERROR(_xlfn.CONCAT(_xlfn.TEXTSPLIT(SUBSTITUTE(SUBSTITUTE(LOWER(Q321),"æ","ae"), " de ", " "),{"b. ","ss. ","s. ","ss.mi ","in ",".",","," et","sanctae ","ę","ũ"})), "")</f>
        <v/>
      </c>
      <c r="K321" s="6" t="str">
        <f t="shared" si="46"/>
        <v/>
      </c>
      <c r="L321" s="6" t="str">
        <f t="shared" si="47"/>
        <v/>
      </c>
      <c r="M321" s="6"/>
      <c r="N321" s="1">
        <v>45959</v>
      </c>
    </row>
    <row r="322" spans="1:19" ht="14.4" customHeight="1" x14ac:dyDescent="0.3">
      <c r="A322" s="7" t="str">
        <f t="shared" si="39"/>
        <v/>
      </c>
      <c r="B322" s="7" t="str">
        <f t="shared" si="40"/>
        <v/>
      </c>
      <c r="C322" s="8" t="str">
        <f t="shared" si="41"/>
        <v/>
      </c>
      <c r="D322" s="8" t="str">
        <f t="shared" si="41"/>
        <v/>
      </c>
      <c r="E322" s="8" t="str">
        <f t="shared" si="42"/>
        <v/>
      </c>
      <c r="F322" s="7" t="s">
        <v>578</v>
      </c>
      <c r="G322" s="7" t="str">
        <f t="shared" si="43"/>
        <v>1030</v>
      </c>
      <c r="H322" s="7" t="str">
        <f t="shared" si="44"/>
        <v/>
      </c>
      <c r="I322" s="7" t="str">
        <f t="shared" si="45"/>
        <v/>
      </c>
      <c r="J322" s="6" t="str">
        <f>IFERROR(_xlfn.CONCAT(_xlfn.TEXTSPLIT(SUBSTITUTE(SUBSTITUTE(LOWER(Q322),"æ","ae"), " de ", " "),{"b. ","ss. ","s. ","ss.mi ","in ",".",","," et","sanctae ","ę","ũ"})), "")</f>
        <v/>
      </c>
      <c r="K322" s="6" t="str">
        <f t="shared" si="46"/>
        <v/>
      </c>
      <c r="L322" s="6" t="str">
        <f t="shared" si="47"/>
        <v/>
      </c>
      <c r="M322" s="6"/>
      <c r="N322" s="1">
        <v>45960</v>
      </c>
    </row>
    <row r="323" spans="1:19" ht="14.4" customHeight="1" x14ac:dyDescent="0.3">
      <c r="A323" s="7" t="str">
        <f t="shared" ref="A323:A386" si="48">IF(OR(F323="",G323="",H323="",I323=""),"",_xlfn.CONCAT(F323,".",G323,".",H323,".",I323))</f>
        <v/>
      </c>
      <c r="B323" s="7" t="str">
        <f t="shared" si="40"/>
        <v/>
      </c>
      <c r="C323" s="8" t="str">
        <f t="shared" si="41"/>
        <v/>
      </c>
      <c r="D323" s="8" t="str">
        <f t="shared" si="41"/>
        <v/>
      </c>
      <c r="E323" s="8" t="str">
        <f t="shared" si="42"/>
        <v/>
      </c>
      <c r="F323" s="7" t="s">
        <v>578</v>
      </c>
      <c r="G323" s="7" t="str">
        <f t="shared" si="43"/>
        <v>1031</v>
      </c>
      <c r="H323" s="7" t="str">
        <f t="shared" si="44"/>
        <v/>
      </c>
      <c r="I323" s="7" t="str">
        <f t="shared" si="45"/>
        <v/>
      </c>
      <c r="J323" s="6" t="str">
        <f>IFERROR(_xlfn.CONCAT(_xlfn.TEXTSPLIT(SUBSTITUTE(SUBSTITUTE(LOWER(Q323),"æ","ae"), " de ", " "),{"b. ","ss. ","s. ","ss.mi ","in ",".",","," et","sanctae ","ę","ũ"})), "")</f>
        <v/>
      </c>
      <c r="K323" s="6" t="str">
        <f t="shared" si="46"/>
        <v/>
      </c>
      <c r="L323" s="6" t="str">
        <f t="shared" si="47"/>
        <v/>
      </c>
      <c r="M323" s="6"/>
      <c r="N323" s="1">
        <v>45961</v>
      </c>
    </row>
    <row r="324" spans="1:19" ht="14.4" customHeight="1" x14ac:dyDescent="0.3">
      <c r="A324" s="7" t="str">
        <f t="shared" si="48"/>
        <v>fix.1101.031.omnsa</v>
      </c>
      <c r="B324" s="7" t="str">
        <f t="shared" ref="B324:B387" si="49">IF(O324="","",TEXT(O324,"0##"))</f>
        <v>031</v>
      </c>
      <c r="C324" s="8" t="str">
        <f t="shared" ref="C324:D387" si="50">IF(Q324="","",TEXT(Q324,""))</f>
        <v>OMNIUM SANCTORUM</v>
      </c>
      <c r="D324" s="8" t="str">
        <f t="shared" si="50"/>
        <v xml:space="preserve">All Saints </v>
      </c>
      <c r="E324" s="8" t="str">
        <f t="shared" ref="E324:E387" si="51">IF(S324="","",TEXT(S324,""))</f>
        <v>모든 성인 대축일</v>
      </c>
      <c r="F324" s="7" t="s">
        <v>578</v>
      </c>
      <c r="G324" s="7" t="str">
        <f t="shared" ref="G324:G387" si="52">TEXT(N324, "mmdd")</f>
        <v>1101</v>
      </c>
      <c r="H324" s="7" t="str">
        <f t="shared" ref="H324:H387" si="53">IF(ISBLANK(O324), "", TEXT(O324, "0##"))</f>
        <v>031</v>
      </c>
      <c r="I324" s="7" t="str">
        <f t="shared" ref="I324:I387" si="54">IF(J324="","",IF(K324="",LEFT(J324,5),IF(K324&lt;4,_xlfn.CONCAT(LEFT(J324,K324-1),LEFT(L324,5-K324+1)),_xlfn.CONCAT(LEFT(J324,3),LEFT(L324,2)))))</f>
        <v>omnsa</v>
      </c>
      <c r="J324" s="6" t="str">
        <f>IFERROR(_xlfn.CONCAT(_xlfn.TEXTSPLIT(SUBSTITUTE(SUBSTITUTE(LOWER(Q324),"æ","ae"), " de ", " "),{"b. ","ss. ","s. ","ss.mi ","in ",".",","," et","sanctae ","ę","ũ"})), "")</f>
        <v>omnium sanctorum</v>
      </c>
      <c r="K324" s="6">
        <f t="shared" ref="K324:K387" si="55">IFERROR(FIND(" ", J324), "")</f>
        <v>7</v>
      </c>
      <c r="L324" s="6" t="str">
        <f t="shared" ref="L324:L387" si="56">SUBSTITUTE(IFERROR(RIGHT(J324, LEN(J324)-K324), ""), " ", "")</f>
        <v>sanctorum</v>
      </c>
      <c r="M324" s="6"/>
      <c r="N324" s="1">
        <v>45962</v>
      </c>
      <c r="O324" s="3" t="s">
        <v>459</v>
      </c>
      <c r="P324" s="4" t="s">
        <v>7</v>
      </c>
      <c r="Q324" s="2" t="s">
        <v>268</v>
      </c>
      <c r="R324" s="9" t="s">
        <v>764</v>
      </c>
      <c r="S324" s="2" t="s">
        <v>394</v>
      </c>
    </row>
    <row r="325" spans="1:19" ht="14.4" customHeight="1" x14ac:dyDescent="0.3">
      <c r="A325" s="7" t="str">
        <f t="shared" si="48"/>
        <v>fix.1102.032.comom</v>
      </c>
      <c r="B325" s="7" t="str">
        <f t="shared" si="49"/>
        <v>032</v>
      </c>
      <c r="C325" s="8" t="str">
        <f t="shared" si="50"/>
        <v>IN COMMEMORATIONE OMNIUM FIDELIUM DEFUNCTORUM</v>
      </c>
      <c r="D325" s="8" t="str">
        <f t="shared" si="50"/>
        <v>The Commemoration of All the Faithful Departed (All Soul’s Day)</v>
      </c>
      <c r="E325" s="8" t="str">
        <f t="shared" si="51"/>
        <v>죽은 모든 이를 기억하는 위령의 날</v>
      </c>
      <c r="F325" s="7" t="s">
        <v>578</v>
      </c>
      <c r="G325" s="7" t="str">
        <f t="shared" si="52"/>
        <v>1102</v>
      </c>
      <c r="H325" s="7" t="str">
        <f t="shared" si="53"/>
        <v>032</v>
      </c>
      <c r="I325" s="7" t="str">
        <f t="shared" si="54"/>
        <v>comom</v>
      </c>
      <c r="J325" s="6" t="str">
        <f>IFERROR(_xlfn.CONCAT(_xlfn.TEXTSPLIT(SUBSTITUTE(SUBSTITUTE(LOWER(Q325),"æ","ae"), " de ", " "),{"b. ","ss. ","s. ","ss.mi ","in ",".",","," et","sanctae ","ę","ũ"})), "")</f>
        <v>commemoratione omnium fidelium defunctorum</v>
      </c>
      <c r="K325" s="6">
        <f t="shared" si="55"/>
        <v>15</v>
      </c>
      <c r="L325" s="6" t="str">
        <f t="shared" si="56"/>
        <v>omniumfideliumdefunctorum</v>
      </c>
      <c r="M325" s="6"/>
      <c r="N325" s="1">
        <v>45963</v>
      </c>
      <c r="O325" s="3" t="s">
        <v>461</v>
      </c>
      <c r="Q325" s="2" t="s">
        <v>269</v>
      </c>
      <c r="R325" s="9" t="s">
        <v>765</v>
      </c>
      <c r="S325" s="2" t="s">
        <v>395</v>
      </c>
    </row>
    <row r="326" spans="1:19" ht="14.4" customHeight="1" x14ac:dyDescent="0.3">
      <c r="A326" s="7" t="str">
        <f t="shared" si="48"/>
        <v>fix.1103.121.marpo</v>
      </c>
      <c r="B326" s="7" t="str">
        <f t="shared" si="49"/>
        <v>121</v>
      </c>
      <c r="C326" s="8" t="str">
        <f t="shared" si="50"/>
        <v>S. Martini de Porres, religiosi</v>
      </c>
      <c r="D326" s="8" t="str">
        <f t="shared" si="50"/>
        <v>St. Martin de Porres, Religious</v>
      </c>
      <c r="E326" s="8" t="str">
        <f t="shared" si="51"/>
        <v>성 마르티노 데 포레스 수도자</v>
      </c>
      <c r="F326" s="7" t="s">
        <v>578</v>
      </c>
      <c r="G326" s="7" t="str">
        <f t="shared" si="52"/>
        <v>1103</v>
      </c>
      <c r="H326" s="7" t="str">
        <f t="shared" si="53"/>
        <v>121</v>
      </c>
      <c r="I326" s="7" t="str">
        <f t="shared" si="54"/>
        <v>marpo</v>
      </c>
      <c r="J326" s="6" t="str">
        <f>IFERROR(_xlfn.CONCAT(_xlfn.TEXTSPLIT(SUBSTITUTE(SUBSTITUTE(LOWER(Q326),"æ","ae"), " de ", " "),{"b. ","ss. ","s. ","ss.mi ","in ",".",","," et","sanctae ","ę","ũ"})), "")</f>
        <v>martini porres religiosi</v>
      </c>
      <c r="K326" s="6">
        <f t="shared" si="55"/>
        <v>8</v>
      </c>
      <c r="L326" s="6" t="str">
        <f t="shared" si="56"/>
        <v>porresreligiosi</v>
      </c>
      <c r="M326" s="6"/>
      <c r="N326" s="1">
        <v>45964</v>
      </c>
      <c r="O326" s="3" t="s">
        <v>471</v>
      </c>
      <c r="P326" s="4" t="s">
        <v>9</v>
      </c>
      <c r="Q326" s="2" t="s">
        <v>270</v>
      </c>
      <c r="R326" s="9" t="s">
        <v>766</v>
      </c>
      <c r="S326" s="2" t="s">
        <v>396</v>
      </c>
    </row>
    <row r="327" spans="1:19" ht="14.4" customHeight="1" x14ac:dyDescent="0.3">
      <c r="A327" s="7" t="str">
        <f t="shared" si="48"/>
        <v>fix.1104.101.carbo</v>
      </c>
      <c r="B327" s="7" t="str">
        <f t="shared" si="49"/>
        <v>101</v>
      </c>
      <c r="C327" s="8" t="str">
        <f t="shared" si="50"/>
        <v>S. Caroli Borromeo, episcopi</v>
      </c>
      <c r="D327" s="8" t="str">
        <f t="shared" si="50"/>
        <v xml:space="preserve">St. Charles Borromeo, Bishop </v>
      </c>
      <c r="E327" s="8" t="str">
        <f t="shared" si="51"/>
        <v>성 가롤로 보로메오 주교 기념일</v>
      </c>
      <c r="F327" s="7" t="s">
        <v>578</v>
      </c>
      <c r="G327" s="7" t="str">
        <f t="shared" si="52"/>
        <v>1104</v>
      </c>
      <c r="H327" s="7" t="str">
        <f t="shared" si="53"/>
        <v>101</v>
      </c>
      <c r="I327" s="7" t="str">
        <f t="shared" si="54"/>
        <v>carbo</v>
      </c>
      <c r="J327" s="6" t="str">
        <f>IFERROR(_xlfn.CONCAT(_xlfn.TEXTSPLIT(SUBSTITUTE(SUBSTITUTE(LOWER(Q327),"æ","ae"), " de ", " "),{"b. ","ss. ","s. ","ss.mi ","in ",".",","," et","sanctae ","ę","ũ"})), "")</f>
        <v>caroli borromeo episcopi</v>
      </c>
      <c r="K327" s="6">
        <f t="shared" si="55"/>
        <v>7</v>
      </c>
      <c r="L327" s="6" t="str">
        <f t="shared" si="56"/>
        <v>borromeoepiscopi</v>
      </c>
      <c r="M327" s="6"/>
      <c r="N327" s="1">
        <v>45965</v>
      </c>
      <c r="O327" s="3">
        <v>101</v>
      </c>
      <c r="P327" s="4" t="s">
        <v>8</v>
      </c>
      <c r="Q327" s="2" t="s">
        <v>271</v>
      </c>
      <c r="R327" s="9" t="s">
        <v>767</v>
      </c>
      <c r="S327" s="2" t="s">
        <v>397</v>
      </c>
    </row>
    <row r="328" spans="1:19" ht="14.4" customHeight="1" x14ac:dyDescent="0.3">
      <c r="A328" s="7" t="str">
        <f t="shared" si="48"/>
        <v/>
      </c>
      <c r="B328" s="7" t="str">
        <f t="shared" si="49"/>
        <v/>
      </c>
      <c r="C328" s="8" t="str">
        <f t="shared" si="50"/>
        <v/>
      </c>
      <c r="D328" s="8" t="str">
        <f t="shared" si="50"/>
        <v/>
      </c>
      <c r="E328" s="8" t="str">
        <f t="shared" si="51"/>
        <v/>
      </c>
      <c r="F328" s="7" t="s">
        <v>578</v>
      </c>
      <c r="G328" s="7" t="str">
        <f t="shared" si="52"/>
        <v>1105</v>
      </c>
      <c r="H328" s="7" t="str">
        <f t="shared" si="53"/>
        <v/>
      </c>
      <c r="I328" s="7" t="str">
        <f t="shared" si="54"/>
        <v/>
      </c>
      <c r="J328" s="6" t="str">
        <f>IFERROR(_xlfn.CONCAT(_xlfn.TEXTSPLIT(SUBSTITUTE(SUBSTITUTE(LOWER(Q328),"æ","ae"), " de ", " "),{"b. ","ss. ","s. ","ss.mi ","in ",".",","," et","sanctae ","ę","ũ"})), "")</f>
        <v/>
      </c>
      <c r="K328" s="6" t="str">
        <f t="shared" si="55"/>
        <v/>
      </c>
      <c r="L328" s="6" t="str">
        <f t="shared" si="56"/>
        <v/>
      </c>
      <c r="M328" s="6"/>
      <c r="N328" s="1">
        <v>45966</v>
      </c>
    </row>
    <row r="329" spans="1:19" ht="14.4" customHeight="1" x14ac:dyDescent="0.3">
      <c r="A329" s="7" t="str">
        <f t="shared" si="48"/>
        <v/>
      </c>
      <c r="B329" s="7" t="str">
        <f t="shared" si="49"/>
        <v/>
      </c>
      <c r="C329" s="8" t="str">
        <f t="shared" si="50"/>
        <v/>
      </c>
      <c r="D329" s="8" t="str">
        <f t="shared" si="50"/>
        <v/>
      </c>
      <c r="E329" s="8" t="str">
        <f t="shared" si="51"/>
        <v/>
      </c>
      <c r="F329" s="7" t="s">
        <v>578</v>
      </c>
      <c r="G329" s="7" t="str">
        <f t="shared" si="52"/>
        <v>1106</v>
      </c>
      <c r="H329" s="7" t="str">
        <f t="shared" si="53"/>
        <v/>
      </c>
      <c r="I329" s="7" t="str">
        <f t="shared" si="54"/>
        <v/>
      </c>
      <c r="J329" s="6" t="str">
        <f>IFERROR(_xlfn.CONCAT(_xlfn.TEXTSPLIT(SUBSTITUTE(SUBSTITUTE(LOWER(Q329),"æ","ae"), " de ", " "),{"b. ","ss. ","s. ","ss.mi ","in ",".",","," et","sanctae ","ę","ũ"})), "")</f>
        <v/>
      </c>
      <c r="K329" s="6" t="str">
        <f t="shared" si="55"/>
        <v/>
      </c>
      <c r="L329" s="6" t="str">
        <f t="shared" si="56"/>
        <v/>
      </c>
      <c r="M329" s="6"/>
      <c r="N329" s="1">
        <v>45967</v>
      </c>
    </row>
    <row r="330" spans="1:19" ht="14.4" customHeight="1" x14ac:dyDescent="0.3">
      <c r="A330" s="7" t="str">
        <f t="shared" si="48"/>
        <v/>
      </c>
      <c r="B330" s="7" t="str">
        <f t="shared" si="49"/>
        <v/>
      </c>
      <c r="C330" s="8" t="str">
        <f t="shared" si="50"/>
        <v/>
      </c>
      <c r="D330" s="8" t="str">
        <f t="shared" si="50"/>
        <v/>
      </c>
      <c r="E330" s="8" t="str">
        <f t="shared" si="51"/>
        <v/>
      </c>
      <c r="F330" s="7" t="s">
        <v>578</v>
      </c>
      <c r="G330" s="7" t="str">
        <f t="shared" si="52"/>
        <v>1107</v>
      </c>
      <c r="H330" s="7" t="str">
        <f t="shared" si="53"/>
        <v/>
      </c>
      <c r="I330" s="7" t="str">
        <f t="shared" si="54"/>
        <v/>
      </c>
      <c r="J330" s="6" t="str">
        <f>IFERROR(_xlfn.CONCAT(_xlfn.TEXTSPLIT(SUBSTITUTE(SUBSTITUTE(LOWER(Q330),"æ","ae"), " de ", " "),{"b. ","ss. ","s. ","ss.mi ","in ",".",","," et","sanctae ","ę","ũ"})), "")</f>
        <v/>
      </c>
      <c r="K330" s="6" t="str">
        <f t="shared" si="55"/>
        <v/>
      </c>
      <c r="L330" s="6" t="str">
        <f t="shared" si="56"/>
        <v/>
      </c>
      <c r="M330" s="6"/>
      <c r="N330" s="1">
        <v>45968</v>
      </c>
    </row>
    <row r="331" spans="1:19" ht="14.4" customHeight="1" x14ac:dyDescent="0.3">
      <c r="A331" s="7" t="str">
        <f t="shared" si="48"/>
        <v/>
      </c>
      <c r="B331" s="7" t="str">
        <f t="shared" si="49"/>
        <v/>
      </c>
      <c r="C331" s="8" t="str">
        <f t="shared" si="50"/>
        <v/>
      </c>
      <c r="D331" s="8" t="str">
        <f t="shared" si="50"/>
        <v/>
      </c>
      <c r="E331" s="8" t="str">
        <f t="shared" si="51"/>
        <v/>
      </c>
      <c r="F331" s="7" t="s">
        <v>578</v>
      </c>
      <c r="G331" s="7" t="str">
        <f t="shared" si="52"/>
        <v>1108</v>
      </c>
      <c r="H331" s="7" t="str">
        <f t="shared" si="53"/>
        <v/>
      </c>
      <c r="I331" s="7" t="str">
        <f t="shared" si="54"/>
        <v/>
      </c>
      <c r="J331" s="6" t="str">
        <f>IFERROR(_xlfn.CONCAT(_xlfn.TEXTSPLIT(SUBSTITUTE(SUBSTITUTE(LOWER(Q331),"æ","ae"), " de ", " "),{"b. ","ss. ","s. ","ss.mi ","in ",".",","," et","sanctae ","ę","ũ"})), "")</f>
        <v/>
      </c>
      <c r="K331" s="6" t="str">
        <f t="shared" si="55"/>
        <v/>
      </c>
      <c r="L331" s="6" t="str">
        <f t="shared" si="56"/>
        <v/>
      </c>
      <c r="M331" s="6"/>
      <c r="N331" s="1">
        <v>45969</v>
      </c>
    </row>
    <row r="332" spans="1:19" ht="14.4" customHeight="1" x14ac:dyDescent="0.3">
      <c r="A332" s="7" t="str">
        <f t="shared" si="48"/>
        <v>fix.1109.071.dedba</v>
      </c>
      <c r="B332" s="7" t="str">
        <f t="shared" si="49"/>
        <v>071</v>
      </c>
      <c r="C332" s="8" t="str">
        <f t="shared" si="50"/>
        <v xml:space="preserve">In Dedicatione basilicæ Lateranensis </v>
      </c>
      <c r="D332" s="8" t="str">
        <f t="shared" si="50"/>
        <v xml:space="preserve">The Dedication of the Lateran Basilica </v>
      </c>
      <c r="E332" s="8" t="str">
        <f t="shared" si="51"/>
        <v>라테라노 대성전 봉헌 축일</v>
      </c>
      <c r="F332" s="7" t="s">
        <v>578</v>
      </c>
      <c r="G332" s="7" t="str">
        <f t="shared" si="52"/>
        <v>1109</v>
      </c>
      <c r="H332" s="7" t="str">
        <f t="shared" si="53"/>
        <v>071</v>
      </c>
      <c r="I332" s="7" t="str">
        <f t="shared" si="54"/>
        <v>dedba</v>
      </c>
      <c r="J332" s="6" t="str">
        <f>IFERROR(_xlfn.CONCAT(_xlfn.TEXTSPLIT(SUBSTITUTE(SUBSTITUTE(LOWER(Q332),"æ","ae"), " de ", " "),{"b. ","ss. ","s. ","ss.mi ","in ",".",","," et","sanctae ","ę","ũ"})), "")</f>
        <v xml:space="preserve">dedicatione basilicae lateranensis </v>
      </c>
      <c r="K332" s="6">
        <f t="shared" si="55"/>
        <v>12</v>
      </c>
      <c r="L332" s="6" t="str">
        <f t="shared" si="56"/>
        <v>basilicaelateranensis</v>
      </c>
      <c r="M332" s="6"/>
      <c r="N332" s="1">
        <v>45970</v>
      </c>
      <c r="O332" s="3" t="s">
        <v>463</v>
      </c>
      <c r="P332" s="4" t="s">
        <v>20</v>
      </c>
      <c r="Q332" s="2" t="s">
        <v>272</v>
      </c>
      <c r="R332" s="9" t="s">
        <v>768</v>
      </c>
      <c r="S332" s="2" t="s">
        <v>398</v>
      </c>
    </row>
    <row r="333" spans="1:19" ht="14.4" customHeight="1" x14ac:dyDescent="0.3">
      <c r="A333" s="7" t="str">
        <f t="shared" si="48"/>
        <v>fix.1110.101.leoma</v>
      </c>
      <c r="B333" s="7" t="str">
        <f t="shared" si="49"/>
        <v>101</v>
      </c>
      <c r="C333" s="8" t="str">
        <f t="shared" si="50"/>
        <v>S. Leonis Magni, papæ et Ecclesiæ doctoris</v>
      </c>
      <c r="D333" s="8" t="str">
        <f t="shared" si="50"/>
        <v xml:space="preserve">St. Leo the Great, Pope and Doctor of the Church </v>
      </c>
      <c r="E333" s="8" t="str">
        <f t="shared" si="51"/>
        <v>성 대 레오 교황 학자 기념일</v>
      </c>
      <c r="F333" s="7" t="s">
        <v>578</v>
      </c>
      <c r="G333" s="7" t="str">
        <f t="shared" si="52"/>
        <v>1110</v>
      </c>
      <c r="H333" s="7" t="str">
        <f t="shared" si="53"/>
        <v>101</v>
      </c>
      <c r="I333" s="7" t="str">
        <f t="shared" si="54"/>
        <v>leoma</v>
      </c>
      <c r="J333" s="6" t="str">
        <f>IFERROR(_xlfn.CONCAT(_xlfn.TEXTSPLIT(SUBSTITUTE(SUBSTITUTE(LOWER(Q333),"æ","ae"), " de ", " "),{"b. ","ss. ","s. ","ss.mi ","in ",".",","," et","sanctae ","ę","ũ"})), "")</f>
        <v>leonis magni papae ecclesiae doctoris</v>
      </c>
      <c r="K333" s="6">
        <f t="shared" si="55"/>
        <v>7</v>
      </c>
      <c r="L333" s="6" t="str">
        <f t="shared" si="56"/>
        <v>magnipapaeecclesiaedoctoris</v>
      </c>
      <c r="M333" s="6"/>
      <c r="N333" s="1">
        <v>45971</v>
      </c>
      <c r="O333" s="3">
        <v>101</v>
      </c>
      <c r="P333" s="4" t="s">
        <v>8</v>
      </c>
      <c r="Q333" s="2" t="s">
        <v>273</v>
      </c>
      <c r="R333" s="9" t="s">
        <v>769</v>
      </c>
      <c r="S333" s="2" t="s">
        <v>399</v>
      </c>
    </row>
    <row r="334" spans="1:19" ht="14.4" customHeight="1" x14ac:dyDescent="0.3">
      <c r="A334" s="7" t="str">
        <f t="shared" si="48"/>
        <v>fix.1111.101.martu</v>
      </c>
      <c r="B334" s="7" t="str">
        <f t="shared" si="49"/>
        <v>101</v>
      </c>
      <c r="C334" s="8" t="str">
        <f t="shared" si="50"/>
        <v>S. Martini Turonensis, episcopi</v>
      </c>
      <c r="D334" s="8" t="str">
        <f t="shared" si="50"/>
        <v xml:space="preserve">St. Martin of Tours, Bishop </v>
      </c>
      <c r="E334" s="8" t="str">
        <f t="shared" si="51"/>
        <v>투르의 성 마르티노 주교 기념일</v>
      </c>
      <c r="F334" s="7" t="s">
        <v>578</v>
      </c>
      <c r="G334" s="7" t="str">
        <f t="shared" si="52"/>
        <v>1111</v>
      </c>
      <c r="H334" s="7" t="str">
        <f t="shared" si="53"/>
        <v>101</v>
      </c>
      <c r="I334" s="7" t="str">
        <f t="shared" si="54"/>
        <v>martu</v>
      </c>
      <c r="J334" s="6" t="str">
        <f>IFERROR(_xlfn.CONCAT(_xlfn.TEXTSPLIT(SUBSTITUTE(SUBSTITUTE(LOWER(Q334),"æ","ae"), " de ", " "),{"b. ","ss. ","s. ","ss.mi ","in ",".",","," et","sanctae ","ę","ũ"})), "")</f>
        <v>martini turonensis episcopi</v>
      </c>
      <c r="K334" s="6">
        <f t="shared" si="55"/>
        <v>8</v>
      </c>
      <c r="L334" s="6" t="str">
        <f t="shared" si="56"/>
        <v>turonensisepiscopi</v>
      </c>
      <c r="M334" s="6"/>
      <c r="N334" s="1">
        <v>45972</v>
      </c>
      <c r="O334" s="3">
        <v>101</v>
      </c>
      <c r="P334" s="4" t="s">
        <v>8</v>
      </c>
      <c r="Q334" s="2" t="s">
        <v>274</v>
      </c>
      <c r="R334" s="9" t="s">
        <v>770</v>
      </c>
      <c r="S334" s="2" t="s">
        <v>400</v>
      </c>
    </row>
    <row r="335" spans="1:19" ht="14.4" customHeight="1" x14ac:dyDescent="0.3">
      <c r="A335" s="7" t="str">
        <f t="shared" si="48"/>
        <v>fix.1112.101.iosep</v>
      </c>
      <c r="B335" s="7" t="str">
        <f t="shared" si="49"/>
        <v>101</v>
      </c>
      <c r="C335" s="8" t="str">
        <f t="shared" si="50"/>
        <v>S. Iosaphat, episcopi et martyris</v>
      </c>
      <c r="D335" s="8" t="str">
        <f t="shared" si="50"/>
        <v xml:space="preserve">St. Josaphat, Bishop and Martyr </v>
      </c>
      <c r="E335" s="8" t="str">
        <f t="shared" si="51"/>
        <v>성 요사팟 주교 순교자 기념일</v>
      </c>
      <c r="F335" s="7" t="s">
        <v>578</v>
      </c>
      <c r="G335" s="7" t="str">
        <f t="shared" si="52"/>
        <v>1112</v>
      </c>
      <c r="H335" s="7" t="str">
        <f t="shared" si="53"/>
        <v>101</v>
      </c>
      <c r="I335" s="7" t="str">
        <f t="shared" si="54"/>
        <v>iosep</v>
      </c>
      <c r="J335" s="6" t="str">
        <f>IFERROR(_xlfn.CONCAT(_xlfn.TEXTSPLIT(SUBSTITUTE(SUBSTITUTE(LOWER(Q335),"æ","ae"), " de ", " "),{"b. ","ss. ","s. ","ss.mi ","in ",".",","," et","sanctae ","ę","ũ"})), "")</f>
        <v>iosaphat episcopi martyris</v>
      </c>
      <c r="K335" s="6">
        <f t="shared" si="55"/>
        <v>9</v>
      </c>
      <c r="L335" s="6" t="str">
        <f t="shared" si="56"/>
        <v>episcopimartyris</v>
      </c>
      <c r="M335" s="6"/>
      <c r="N335" s="1">
        <v>45973</v>
      </c>
      <c r="O335" s="3">
        <v>101</v>
      </c>
      <c r="P335" s="4" t="s">
        <v>8</v>
      </c>
      <c r="Q335" s="2" t="s">
        <v>275</v>
      </c>
      <c r="R335" s="9" t="s">
        <v>771</v>
      </c>
      <c r="S335" s="2" t="s">
        <v>401</v>
      </c>
    </row>
    <row r="336" spans="1:19" ht="14.4" customHeight="1" x14ac:dyDescent="0.3">
      <c r="A336" s="7" t="str">
        <f t="shared" si="48"/>
        <v/>
      </c>
      <c r="B336" s="7" t="str">
        <f t="shared" si="49"/>
        <v/>
      </c>
      <c r="C336" s="8" t="str">
        <f t="shared" si="50"/>
        <v/>
      </c>
      <c r="D336" s="8" t="str">
        <f t="shared" si="50"/>
        <v/>
      </c>
      <c r="E336" s="8" t="str">
        <f t="shared" si="51"/>
        <v/>
      </c>
      <c r="F336" s="7" t="s">
        <v>578</v>
      </c>
      <c r="G336" s="7" t="str">
        <f t="shared" si="52"/>
        <v>1113</v>
      </c>
      <c r="H336" s="7" t="str">
        <f t="shared" si="53"/>
        <v/>
      </c>
      <c r="I336" s="7" t="str">
        <f t="shared" si="54"/>
        <v/>
      </c>
      <c r="J336" s="6" t="str">
        <f>IFERROR(_xlfn.CONCAT(_xlfn.TEXTSPLIT(SUBSTITUTE(SUBSTITUTE(LOWER(Q336),"æ","ae"), " de ", " "),{"b. ","ss. ","s. ","ss.mi ","in ",".",","," et","sanctae ","ę","ũ"})), "")</f>
        <v/>
      </c>
      <c r="K336" s="6" t="str">
        <f t="shared" si="55"/>
        <v/>
      </c>
      <c r="L336" s="6" t="str">
        <f t="shared" si="56"/>
        <v/>
      </c>
      <c r="M336" s="6"/>
      <c r="N336" s="1">
        <v>45974</v>
      </c>
    </row>
    <row r="337" spans="1:19" ht="14.4" customHeight="1" x14ac:dyDescent="0.3">
      <c r="A337" s="7" t="str">
        <f t="shared" si="48"/>
        <v/>
      </c>
      <c r="B337" s="7" t="str">
        <f t="shared" si="49"/>
        <v/>
      </c>
      <c r="C337" s="8" t="str">
        <f t="shared" si="50"/>
        <v/>
      </c>
      <c r="D337" s="8" t="str">
        <f t="shared" si="50"/>
        <v/>
      </c>
      <c r="E337" s="8" t="str">
        <f t="shared" si="51"/>
        <v/>
      </c>
      <c r="F337" s="7" t="s">
        <v>578</v>
      </c>
      <c r="G337" s="7" t="str">
        <f t="shared" si="52"/>
        <v>1114</v>
      </c>
      <c r="H337" s="7" t="str">
        <f t="shared" si="53"/>
        <v/>
      </c>
      <c r="I337" s="7" t="str">
        <f t="shared" si="54"/>
        <v/>
      </c>
      <c r="J337" s="6" t="str">
        <f>IFERROR(_xlfn.CONCAT(_xlfn.TEXTSPLIT(SUBSTITUTE(SUBSTITUTE(LOWER(Q337),"æ","ae"), " de ", " "),{"b. ","ss. ","s. ","ss.mi ","in ",".",","," et","sanctae ","ę","ũ"})), "")</f>
        <v/>
      </c>
      <c r="K337" s="6" t="str">
        <f t="shared" si="55"/>
        <v/>
      </c>
      <c r="L337" s="6" t="str">
        <f t="shared" si="56"/>
        <v/>
      </c>
      <c r="M337" s="6"/>
      <c r="N337" s="1">
        <v>45975</v>
      </c>
    </row>
    <row r="338" spans="1:19" ht="14.4" customHeight="1" x14ac:dyDescent="0.3">
      <c r="A338" s="7" t="str">
        <f t="shared" si="48"/>
        <v>fix.1115.121.albma</v>
      </c>
      <c r="B338" s="7" t="str">
        <f t="shared" si="49"/>
        <v>121</v>
      </c>
      <c r="C338" s="8" t="str">
        <f t="shared" si="50"/>
        <v>S. Alberti Magni, episcopi et Ecclesiæ doctoris</v>
      </c>
      <c r="D338" s="8" t="str">
        <f t="shared" si="50"/>
        <v>St. Albert the Great, Bishop and Doctor of the Church</v>
      </c>
      <c r="E338" s="8" t="str">
        <f t="shared" si="51"/>
        <v>성 대 알베르토 주교 학자</v>
      </c>
      <c r="F338" s="7" t="s">
        <v>578</v>
      </c>
      <c r="G338" s="7" t="str">
        <f t="shared" si="52"/>
        <v>1115</v>
      </c>
      <c r="H338" s="7" t="str">
        <f t="shared" si="53"/>
        <v>121</v>
      </c>
      <c r="I338" s="7" t="str">
        <f t="shared" si="54"/>
        <v>albma</v>
      </c>
      <c r="J338" s="6" t="str">
        <f>IFERROR(_xlfn.CONCAT(_xlfn.TEXTSPLIT(SUBSTITUTE(SUBSTITUTE(LOWER(Q338),"æ","ae"), " de ", " "),{"b. ","ss. ","s. ","ss.mi ","in ",".",","," et","sanctae ","ę","ũ"})), "")</f>
        <v>alberti magni episcopi ecclesiae doctoris</v>
      </c>
      <c r="K338" s="6">
        <f t="shared" si="55"/>
        <v>8</v>
      </c>
      <c r="L338" s="6" t="str">
        <f t="shared" si="56"/>
        <v>magniepiscopiecclesiaedoctoris</v>
      </c>
      <c r="M338" s="6"/>
      <c r="N338" s="1">
        <v>45976</v>
      </c>
      <c r="O338" s="3" t="s">
        <v>471</v>
      </c>
      <c r="P338" s="4" t="s">
        <v>9</v>
      </c>
      <c r="Q338" s="2" t="s">
        <v>276</v>
      </c>
      <c r="R338" s="9" t="s">
        <v>772</v>
      </c>
      <c r="S338" s="2" t="s">
        <v>402</v>
      </c>
    </row>
    <row r="339" spans="1:19" ht="14.4" customHeight="1" x14ac:dyDescent="0.3">
      <c r="A339" s="7" t="str">
        <f t="shared" si="48"/>
        <v>fix.1116.121.marsc</v>
      </c>
      <c r="B339" s="7" t="str">
        <f t="shared" si="49"/>
        <v>121</v>
      </c>
      <c r="C339" s="8" t="str">
        <f t="shared" si="50"/>
        <v>S. Margaritæ Scotiæ</v>
      </c>
      <c r="D339" s="8" t="str">
        <f t="shared" si="50"/>
        <v>St. Margaret of Scotland</v>
      </c>
      <c r="E339" s="8" t="str">
        <f t="shared" si="51"/>
        <v>스코틀랜드의 성녀 마르가리타</v>
      </c>
      <c r="F339" s="7" t="s">
        <v>578</v>
      </c>
      <c r="G339" s="7" t="str">
        <f t="shared" si="52"/>
        <v>1116</v>
      </c>
      <c r="H339" s="7" t="str">
        <f t="shared" si="53"/>
        <v>121</v>
      </c>
      <c r="I339" s="7" t="str">
        <f t="shared" si="54"/>
        <v>marsc</v>
      </c>
      <c r="J339" s="6" t="str">
        <f>IFERROR(_xlfn.CONCAT(_xlfn.TEXTSPLIT(SUBSTITUTE(SUBSTITUTE(LOWER(Q339),"æ","ae"), " de ", " "),{"b. ","ss. ","s. ","ss.mi ","in ",".",","," et","sanctae ","ę","ũ"})), "")</f>
        <v>margaritae scotiae</v>
      </c>
      <c r="K339" s="6">
        <f t="shared" si="55"/>
        <v>11</v>
      </c>
      <c r="L339" s="6" t="str">
        <f t="shared" si="56"/>
        <v>scotiae</v>
      </c>
      <c r="M339" s="6"/>
      <c r="N339" s="1">
        <v>45977</v>
      </c>
      <c r="O339" s="3" t="s">
        <v>471</v>
      </c>
      <c r="P339" s="4" t="s">
        <v>9</v>
      </c>
      <c r="Q339" s="2" t="s">
        <v>277</v>
      </c>
      <c r="R339" s="9" t="s">
        <v>773</v>
      </c>
      <c r="S339" s="2" t="s">
        <v>403</v>
      </c>
    </row>
    <row r="340" spans="1:19" ht="14.4" customHeight="1" x14ac:dyDescent="0.3">
      <c r="A340" s="7" t="str">
        <f t="shared" si="48"/>
        <v>fix.1116.121.gervi</v>
      </c>
      <c r="B340" s="7" t="str">
        <f t="shared" si="49"/>
        <v>121</v>
      </c>
      <c r="C340" s="8" t="str">
        <f t="shared" si="50"/>
        <v>S. Gertrudis, virginis</v>
      </c>
      <c r="D340" s="8" t="str">
        <f t="shared" si="50"/>
        <v>St. Gertrude, Virgin</v>
      </c>
      <c r="E340" s="8" t="str">
        <f t="shared" si="51"/>
        <v>성녀 제르트루다 동정</v>
      </c>
      <c r="F340" s="7" t="s">
        <v>578</v>
      </c>
      <c r="G340" s="7" t="str">
        <f t="shared" si="52"/>
        <v>1116</v>
      </c>
      <c r="H340" s="7" t="str">
        <f t="shared" si="53"/>
        <v>121</v>
      </c>
      <c r="I340" s="7" t="str">
        <f t="shared" si="54"/>
        <v>gervi</v>
      </c>
      <c r="J340" s="6" t="str">
        <f>IFERROR(_xlfn.CONCAT(_xlfn.TEXTSPLIT(SUBSTITUTE(SUBSTITUTE(LOWER(Q340),"æ","ae"), " de ", " "),{"b. ","ss. ","s. ","ss.mi ","in ",".",","," et","sanctae ","ę","ũ"})), "")</f>
        <v>gertrudis virginis</v>
      </c>
      <c r="K340" s="6">
        <f t="shared" si="55"/>
        <v>10</v>
      </c>
      <c r="L340" s="6" t="str">
        <f t="shared" si="56"/>
        <v>virginis</v>
      </c>
      <c r="M340" s="6"/>
      <c r="N340" s="1">
        <v>45977</v>
      </c>
      <c r="O340" s="3" t="s">
        <v>471</v>
      </c>
      <c r="P340" s="4" t="s">
        <v>9</v>
      </c>
      <c r="Q340" s="2" t="s">
        <v>278</v>
      </c>
      <c r="R340" s="9" t="s">
        <v>774</v>
      </c>
      <c r="S340" s="2" t="s">
        <v>404</v>
      </c>
    </row>
    <row r="341" spans="1:19" ht="14.4" customHeight="1" x14ac:dyDescent="0.3">
      <c r="A341" s="7" t="str">
        <f t="shared" si="48"/>
        <v>fix.1117.101.elihu</v>
      </c>
      <c r="B341" s="7" t="str">
        <f t="shared" si="49"/>
        <v>101</v>
      </c>
      <c r="C341" s="8" t="str">
        <f t="shared" si="50"/>
        <v>S. Elisabeth Hungariæ, religiosæ</v>
      </c>
      <c r="D341" s="8" t="str">
        <f t="shared" si="50"/>
        <v xml:space="preserve">St. Elizabeth of Hungary, Religious </v>
      </c>
      <c r="E341" s="8" t="str">
        <f t="shared" si="51"/>
        <v>헝가리의 성녀 엘리사벳 수도자 기념일</v>
      </c>
      <c r="F341" s="7" t="s">
        <v>578</v>
      </c>
      <c r="G341" s="7" t="str">
        <f t="shared" si="52"/>
        <v>1117</v>
      </c>
      <c r="H341" s="7" t="str">
        <f t="shared" si="53"/>
        <v>101</v>
      </c>
      <c r="I341" s="7" t="str">
        <f t="shared" si="54"/>
        <v>elihu</v>
      </c>
      <c r="J341" s="6" t="str">
        <f>IFERROR(_xlfn.CONCAT(_xlfn.TEXTSPLIT(SUBSTITUTE(SUBSTITUTE(LOWER(Q341),"æ","ae"), " de ", " "),{"b. ","ss. ","s. ","ss.mi ","in ",".",","," et","sanctae ","ę","ũ"})), "")</f>
        <v>elisabeth hungariae religiosae</v>
      </c>
      <c r="K341" s="6">
        <f t="shared" si="55"/>
        <v>10</v>
      </c>
      <c r="L341" s="6" t="str">
        <f t="shared" si="56"/>
        <v>hungariaereligiosae</v>
      </c>
      <c r="M341" s="6"/>
      <c r="N341" s="1">
        <v>45978</v>
      </c>
      <c r="O341" s="3">
        <v>101</v>
      </c>
      <c r="P341" s="4" t="s">
        <v>8</v>
      </c>
      <c r="Q341" s="2" t="s">
        <v>279</v>
      </c>
      <c r="R341" s="9" t="s">
        <v>775</v>
      </c>
      <c r="S341" s="2" t="s">
        <v>405</v>
      </c>
    </row>
    <row r="342" spans="1:19" ht="14.4" customHeight="1" x14ac:dyDescent="0.3">
      <c r="A342" s="7" t="str">
        <f t="shared" si="48"/>
        <v>fix.1118.121.dedba</v>
      </c>
      <c r="B342" s="7" t="str">
        <f t="shared" si="49"/>
        <v>121</v>
      </c>
      <c r="C342" s="8" t="str">
        <f t="shared" si="50"/>
        <v>In Dedicatione basilicarum Ss. Petri et Pauli, apostolorum</v>
      </c>
      <c r="D342" s="8" t="str">
        <f t="shared" si="50"/>
        <v>The Dedication of the Basilicas of Sts. Peter and Paul, Apostles</v>
      </c>
      <c r="E342" s="8" t="str">
        <f t="shared" si="51"/>
        <v>성 베드로 대성전과 성 바오로 대성전 봉헌</v>
      </c>
      <c r="F342" s="7" t="s">
        <v>578</v>
      </c>
      <c r="G342" s="7" t="str">
        <f t="shared" si="52"/>
        <v>1118</v>
      </c>
      <c r="H342" s="7" t="str">
        <f t="shared" si="53"/>
        <v>121</v>
      </c>
      <c r="I342" s="7" t="str">
        <f t="shared" si="54"/>
        <v>dedba</v>
      </c>
      <c r="J342" s="6" t="str">
        <f>IFERROR(_xlfn.CONCAT(_xlfn.TEXTSPLIT(SUBSTITUTE(SUBSTITUTE(LOWER(Q342),"æ","ae"), " de ", " "),{"b. ","ss. ","s. ","ss.mi ","in ",".",","," et","sanctae ","ę","ũ"})), "")</f>
        <v>dedicatione basilicarum petri pauli apostolorum</v>
      </c>
      <c r="K342" s="6">
        <f t="shared" si="55"/>
        <v>12</v>
      </c>
      <c r="L342" s="6" t="str">
        <f t="shared" si="56"/>
        <v>basilicarumpetripauliapostolorum</v>
      </c>
      <c r="M342" s="6"/>
      <c r="N342" s="1">
        <v>45979</v>
      </c>
      <c r="O342" s="3" t="s">
        <v>471</v>
      </c>
      <c r="P342" s="4" t="s">
        <v>9</v>
      </c>
      <c r="Q342" s="2" t="s">
        <v>280</v>
      </c>
      <c r="R342" s="9" t="s">
        <v>776</v>
      </c>
      <c r="S342" s="2" t="s">
        <v>406</v>
      </c>
    </row>
    <row r="343" spans="1:19" ht="14.4" customHeight="1" x14ac:dyDescent="0.3">
      <c r="A343" s="7" t="str">
        <f t="shared" si="48"/>
        <v/>
      </c>
      <c r="B343" s="7" t="str">
        <f t="shared" si="49"/>
        <v/>
      </c>
      <c r="C343" s="8" t="str">
        <f t="shared" si="50"/>
        <v/>
      </c>
      <c r="D343" s="8" t="str">
        <f t="shared" si="50"/>
        <v/>
      </c>
      <c r="E343" s="8" t="str">
        <f t="shared" si="51"/>
        <v/>
      </c>
      <c r="F343" s="7" t="s">
        <v>578</v>
      </c>
      <c r="G343" s="7" t="str">
        <f t="shared" si="52"/>
        <v>1119</v>
      </c>
      <c r="H343" s="7" t="str">
        <f t="shared" si="53"/>
        <v/>
      </c>
      <c r="I343" s="7" t="str">
        <f t="shared" si="54"/>
        <v/>
      </c>
      <c r="J343" s="6" t="str">
        <f>IFERROR(_xlfn.CONCAT(_xlfn.TEXTSPLIT(SUBSTITUTE(SUBSTITUTE(LOWER(Q343),"æ","ae"), " de ", " "),{"b. ","ss. ","s. ","ss.mi ","in ",".",","," et","sanctae ","ę","ũ"})), "")</f>
        <v/>
      </c>
      <c r="K343" s="6" t="str">
        <f t="shared" si="55"/>
        <v/>
      </c>
      <c r="L343" s="6" t="str">
        <f t="shared" si="56"/>
        <v/>
      </c>
      <c r="M343" s="6"/>
      <c r="N343" s="1">
        <v>45980</v>
      </c>
    </row>
    <row r="344" spans="1:19" ht="14.4" customHeight="1" x14ac:dyDescent="0.3">
      <c r="A344" s="7" t="str">
        <f t="shared" si="48"/>
        <v/>
      </c>
      <c r="B344" s="7" t="str">
        <f t="shared" si="49"/>
        <v/>
      </c>
      <c r="C344" s="8" t="str">
        <f t="shared" si="50"/>
        <v/>
      </c>
      <c r="D344" s="8" t="str">
        <f t="shared" si="50"/>
        <v/>
      </c>
      <c r="E344" s="8" t="str">
        <f t="shared" si="51"/>
        <v/>
      </c>
      <c r="F344" s="7" t="s">
        <v>578</v>
      </c>
      <c r="G344" s="7" t="str">
        <f t="shared" si="52"/>
        <v>1120</v>
      </c>
      <c r="H344" s="7" t="str">
        <f t="shared" si="53"/>
        <v/>
      </c>
      <c r="I344" s="7" t="str">
        <f t="shared" si="54"/>
        <v/>
      </c>
      <c r="J344" s="6" t="str">
        <f>IFERROR(_xlfn.CONCAT(_xlfn.TEXTSPLIT(SUBSTITUTE(SUBSTITUTE(LOWER(Q344),"æ","ae"), " de ", " "),{"b. ","ss. ","s. ","ss.mi ","in ",".",","," et","sanctae ","ę","ũ"})), "")</f>
        <v/>
      </c>
      <c r="K344" s="6" t="str">
        <f t="shared" si="55"/>
        <v/>
      </c>
      <c r="L344" s="6" t="str">
        <f t="shared" si="56"/>
        <v/>
      </c>
      <c r="M344" s="6"/>
      <c r="N344" s="1">
        <v>45981</v>
      </c>
    </row>
    <row r="345" spans="1:19" ht="14.4" customHeight="1" x14ac:dyDescent="0.3">
      <c r="A345" s="7" t="str">
        <f t="shared" si="48"/>
        <v>fix.1121.101.prama</v>
      </c>
      <c r="B345" s="7" t="str">
        <f t="shared" si="49"/>
        <v>101</v>
      </c>
      <c r="C345" s="8" t="str">
        <f t="shared" si="50"/>
        <v>In Præsentatione B. Mariæ Virginis</v>
      </c>
      <c r="D345" s="8" t="str">
        <f t="shared" si="50"/>
        <v xml:space="preserve">The Presentation of the Blessed Virgin Mary </v>
      </c>
      <c r="E345" s="8" t="str">
        <f t="shared" si="51"/>
        <v>복되신 동정 마리아의 자헌 기념일</v>
      </c>
      <c r="F345" s="7" t="s">
        <v>578</v>
      </c>
      <c r="G345" s="7" t="str">
        <f t="shared" si="52"/>
        <v>1121</v>
      </c>
      <c r="H345" s="7" t="str">
        <f t="shared" si="53"/>
        <v>101</v>
      </c>
      <c r="I345" s="7" t="str">
        <f t="shared" si="54"/>
        <v>prama</v>
      </c>
      <c r="J345" s="6" t="str">
        <f>IFERROR(_xlfn.CONCAT(_xlfn.TEXTSPLIT(SUBSTITUTE(SUBSTITUTE(LOWER(Q345),"æ","ae"), " de ", " "),{"b. ","ss. ","s. ","ss.mi ","in ",".",","," et","sanctae ","ę","ũ"})), "")</f>
        <v>praesentatione mariae virginis</v>
      </c>
      <c r="K345" s="6">
        <f t="shared" si="55"/>
        <v>15</v>
      </c>
      <c r="L345" s="6" t="str">
        <f t="shared" si="56"/>
        <v>mariaevirginis</v>
      </c>
      <c r="M345" s="6"/>
      <c r="N345" s="1">
        <v>45982</v>
      </c>
      <c r="O345" s="3">
        <v>101</v>
      </c>
      <c r="P345" s="4" t="s">
        <v>8</v>
      </c>
      <c r="Q345" s="2" t="s">
        <v>281</v>
      </c>
      <c r="R345" s="9" t="s">
        <v>777</v>
      </c>
      <c r="S345" s="2" t="s">
        <v>407</v>
      </c>
    </row>
    <row r="346" spans="1:19" ht="14.4" customHeight="1" x14ac:dyDescent="0.3">
      <c r="A346" s="7" t="str">
        <f t="shared" si="48"/>
        <v>fix.1122.101.caevi</v>
      </c>
      <c r="B346" s="7" t="str">
        <f t="shared" si="49"/>
        <v>101</v>
      </c>
      <c r="C346" s="8" t="str">
        <f t="shared" si="50"/>
        <v>S. Cæciliæ, virginis et martyris</v>
      </c>
      <c r="D346" s="8" t="str">
        <f t="shared" si="50"/>
        <v xml:space="preserve">St. Cecilia, Virgin and Martyr </v>
      </c>
      <c r="E346" s="8" t="str">
        <f t="shared" si="51"/>
        <v>성녀 체칠리아 동정 순교자 기념일</v>
      </c>
      <c r="F346" s="7" t="s">
        <v>578</v>
      </c>
      <c r="G346" s="7" t="str">
        <f t="shared" si="52"/>
        <v>1122</v>
      </c>
      <c r="H346" s="7" t="str">
        <f t="shared" si="53"/>
        <v>101</v>
      </c>
      <c r="I346" s="7" t="str">
        <f t="shared" si="54"/>
        <v>caevi</v>
      </c>
      <c r="J346" s="6" t="str">
        <f>IFERROR(_xlfn.CONCAT(_xlfn.TEXTSPLIT(SUBSTITUTE(SUBSTITUTE(LOWER(Q346),"æ","ae"), " de ", " "),{"b. ","ss. ","s. ","ss.mi ","in ",".",","," et","sanctae ","ę","ũ"})), "")</f>
        <v>caeciliae virginis martyris</v>
      </c>
      <c r="K346" s="6">
        <f t="shared" si="55"/>
        <v>10</v>
      </c>
      <c r="L346" s="6" t="str">
        <f t="shared" si="56"/>
        <v>virginismartyris</v>
      </c>
      <c r="M346" s="6"/>
      <c r="N346" s="1">
        <v>45983</v>
      </c>
      <c r="O346" s="3">
        <v>101</v>
      </c>
      <c r="P346" s="4" t="s">
        <v>8</v>
      </c>
      <c r="Q346" s="2" t="s">
        <v>282</v>
      </c>
      <c r="R346" s="9" t="s">
        <v>778</v>
      </c>
      <c r="S346" s="2" t="s">
        <v>408</v>
      </c>
    </row>
    <row r="347" spans="1:19" ht="14.4" customHeight="1" x14ac:dyDescent="0.3">
      <c r="A347" s="7" t="str">
        <f t="shared" si="48"/>
        <v>fix.1123.121.cleip</v>
      </c>
      <c r="B347" s="7" t="str">
        <f t="shared" si="49"/>
        <v>121</v>
      </c>
      <c r="C347" s="8" t="str">
        <f t="shared" si="50"/>
        <v>S. Clementis I, papæ et martyris</v>
      </c>
      <c r="D347" s="8" t="str">
        <f t="shared" si="50"/>
        <v>St. Clement I, Pope and Martyr</v>
      </c>
      <c r="E347" s="8" t="str">
        <f t="shared" si="51"/>
        <v>성 클레멘스 1세 교황 순교자</v>
      </c>
      <c r="F347" s="7" t="s">
        <v>578</v>
      </c>
      <c r="G347" s="7" t="str">
        <f t="shared" si="52"/>
        <v>1123</v>
      </c>
      <c r="H347" s="7" t="str">
        <f t="shared" si="53"/>
        <v>121</v>
      </c>
      <c r="I347" s="7" t="str">
        <f t="shared" si="54"/>
        <v>cleip</v>
      </c>
      <c r="J347" s="6" t="str">
        <f>IFERROR(_xlfn.CONCAT(_xlfn.TEXTSPLIT(SUBSTITUTE(SUBSTITUTE(LOWER(Q347),"æ","ae"), " de ", " "),{"b. ","ss. ","s. ","ss.mi ","in ",".",","," et","sanctae ","ę","ũ"})), "")</f>
        <v>clementis i papae martyris</v>
      </c>
      <c r="K347" s="6">
        <f t="shared" si="55"/>
        <v>10</v>
      </c>
      <c r="L347" s="6" t="str">
        <f t="shared" si="56"/>
        <v>ipapaemartyris</v>
      </c>
      <c r="M347" s="6"/>
      <c r="N347" s="1">
        <v>45984</v>
      </c>
      <c r="O347" s="3" t="s">
        <v>471</v>
      </c>
      <c r="P347" s="4" t="s">
        <v>9</v>
      </c>
      <c r="Q347" s="2" t="s">
        <v>283</v>
      </c>
      <c r="R347" s="9" t="s">
        <v>779</v>
      </c>
      <c r="S347" s="2" t="s">
        <v>409</v>
      </c>
    </row>
    <row r="348" spans="1:19" ht="14.4" customHeight="1" x14ac:dyDescent="0.3">
      <c r="A348" s="7" t="str">
        <f t="shared" si="48"/>
        <v>fix.1123.121.colab</v>
      </c>
      <c r="B348" s="7" t="str">
        <f t="shared" si="49"/>
        <v>121</v>
      </c>
      <c r="C348" s="8" t="str">
        <f t="shared" si="50"/>
        <v>S. Columbani, abbatis</v>
      </c>
      <c r="D348" s="8" t="str">
        <f t="shared" si="50"/>
        <v>St. Columban, Abbot</v>
      </c>
      <c r="E348" s="8" t="str">
        <f t="shared" si="51"/>
        <v>성 골룸바노 아빠스</v>
      </c>
      <c r="F348" s="7" t="s">
        <v>578</v>
      </c>
      <c r="G348" s="7" t="str">
        <f t="shared" si="52"/>
        <v>1123</v>
      </c>
      <c r="H348" s="7" t="str">
        <f t="shared" si="53"/>
        <v>121</v>
      </c>
      <c r="I348" s="7" t="str">
        <f t="shared" si="54"/>
        <v>colab</v>
      </c>
      <c r="J348" s="6" t="str">
        <f>IFERROR(_xlfn.CONCAT(_xlfn.TEXTSPLIT(SUBSTITUTE(SUBSTITUTE(LOWER(Q348),"æ","ae"), " de ", " "),{"b. ","ss. ","s. ","ss.mi ","in ",".",","," et","sanctae ","ę","ũ"})), "")</f>
        <v>columbani abbatis</v>
      </c>
      <c r="K348" s="6">
        <f t="shared" si="55"/>
        <v>10</v>
      </c>
      <c r="L348" s="6" t="str">
        <f t="shared" si="56"/>
        <v>abbatis</v>
      </c>
      <c r="M348" s="6"/>
      <c r="N348" s="1">
        <v>45984</v>
      </c>
      <c r="O348" s="3" t="s">
        <v>471</v>
      </c>
      <c r="P348" s="4" t="s">
        <v>9</v>
      </c>
      <c r="Q348" s="2" t="s">
        <v>284</v>
      </c>
      <c r="R348" s="9" t="s">
        <v>780</v>
      </c>
      <c r="S348" s="2" t="s">
        <v>410</v>
      </c>
    </row>
    <row r="349" spans="1:19" ht="14.4" customHeight="1" x14ac:dyDescent="0.3">
      <c r="A349" s="7" t="str">
        <f t="shared" si="48"/>
        <v>fix.1124.101.anddn</v>
      </c>
      <c r="B349" s="7" t="str">
        <f t="shared" si="49"/>
        <v>101</v>
      </c>
      <c r="C349" s="8" t="str">
        <f t="shared" si="50"/>
        <v>Ss. Andreæ Dũng Lac, presbyteri, et sociorum, martyrum</v>
      </c>
      <c r="D349" s="8" t="str">
        <f t="shared" si="50"/>
        <v xml:space="preserve">St. Andrew Dung-Lac, Priest, and Companions, Martyrs </v>
      </c>
      <c r="E349" s="8" t="str">
        <f t="shared" si="51"/>
        <v>성 안드레아 둥락 사제와 동료 순교자들 기념일</v>
      </c>
      <c r="F349" s="7" t="s">
        <v>578</v>
      </c>
      <c r="G349" s="7" t="str">
        <f t="shared" si="52"/>
        <v>1124</v>
      </c>
      <c r="H349" s="7" t="str">
        <f t="shared" si="53"/>
        <v>101</v>
      </c>
      <c r="I349" s="7" t="str">
        <f t="shared" si="54"/>
        <v>anddn</v>
      </c>
      <c r="J349" s="6" t="str">
        <f>IFERROR(_xlfn.CONCAT(_xlfn.TEXTSPLIT(SUBSTITUTE(SUBSTITUTE(LOWER(Q349),"æ","ae"), " de ", " "),{"b. ","ss. ","s. ","ss.mi ","in ",".",","," et","sanctae ","ę","ũ"})), "")</f>
        <v>andreae dng lac presbyteri sociorum martyrum</v>
      </c>
      <c r="K349" s="6">
        <f t="shared" si="55"/>
        <v>8</v>
      </c>
      <c r="L349" s="6" t="str">
        <f t="shared" si="56"/>
        <v>dnglacpresbyterisociorummartyrum</v>
      </c>
      <c r="M349" s="6"/>
      <c r="N349" s="1">
        <v>45985</v>
      </c>
      <c r="O349" s="3">
        <v>101</v>
      </c>
      <c r="P349" s="4" t="s">
        <v>8</v>
      </c>
      <c r="Q349" s="2" t="s">
        <v>286</v>
      </c>
      <c r="R349" s="9" t="s">
        <v>781</v>
      </c>
      <c r="S349" s="2" t="s">
        <v>411</v>
      </c>
    </row>
    <row r="350" spans="1:19" ht="14.4" customHeight="1" x14ac:dyDescent="0.3">
      <c r="A350" s="7" t="str">
        <f t="shared" si="48"/>
        <v>fix.1125.121.catal</v>
      </c>
      <c r="B350" s="7" t="str">
        <f t="shared" si="49"/>
        <v>121</v>
      </c>
      <c r="C350" s="8" t="str">
        <f t="shared" si="50"/>
        <v>S. Catharinæ Alexandrinæ, virginis et martyris</v>
      </c>
      <c r="D350" s="8" t="str">
        <f t="shared" si="50"/>
        <v>St. Catherine of Alexandria, Virgin and Martyr</v>
      </c>
      <c r="E350" s="8" t="str">
        <f t="shared" si="51"/>
        <v>알렉산드리아의 성녀 가타리나 동정 순교자</v>
      </c>
      <c r="F350" s="7" t="s">
        <v>578</v>
      </c>
      <c r="G350" s="7" t="str">
        <f t="shared" si="52"/>
        <v>1125</v>
      </c>
      <c r="H350" s="7" t="str">
        <f t="shared" si="53"/>
        <v>121</v>
      </c>
      <c r="I350" s="7" t="str">
        <f t="shared" si="54"/>
        <v>catal</v>
      </c>
      <c r="J350" s="6" t="str">
        <f>IFERROR(_xlfn.CONCAT(_xlfn.TEXTSPLIT(SUBSTITUTE(SUBSTITUTE(LOWER(Q350),"æ","ae"), " de ", " "),{"b. ","ss. ","s. ","ss.mi ","in ",".",","," et","sanctae ","ę","ũ"})), "")</f>
        <v>catharinae alexandrinae virginis martyris</v>
      </c>
      <c r="K350" s="6">
        <f t="shared" si="55"/>
        <v>11</v>
      </c>
      <c r="L350" s="6" t="str">
        <f t="shared" si="56"/>
        <v>alexandrinaevirginismartyris</v>
      </c>
      <c r="M350" s="6"/>
      <c r="N350" s="1">
        <v>45986</v>
      </c>
      <c r="O350" s="3" t="s">
        <v>471</v>
      </c>
      <c r="P350" s="4" t="s">
        <v>9</v>
      </c>
      <c r="Q350" s="2" t="s">
        <v>287</v>
      </c>
      <c r="R350" s="9" t="s">
        <v>782</v>
      </c>
      <c r="S350" s="2" t="s">
        <v>412</v>
      </c>
    </row>
    <row r="351" spans="1:19" ht="14.4" customHeight="1" x14ac:dyDescent="0.3">
      <c r="A351" s="7" t="str">
        <f t="shared" si="48"/>
        <v/>
      </c>
      <c r="B351" s="7" t="str">
        <f t="shared" si="49"/>
        <v/>
      </c>
      <c r="C351" s="8" t="str">
        <f t="shared" si="50"/>
        <v/>
      </c>
      <c r="D351" s="8" t="str">
        <f t="shared" si="50"/>
        <v/>
      </c>
      <c r="E351" s="8" t="str">
        <f t="shared" si="51"/>
        <v/>
      </c>
      <c r="F351" s="7" t="s">
        <v>578</v>
      </c>
      <c r="G351" s="7" t="str">
        <f t="shared" si="52"/>
        <v>1126</v>
      </c>
      <c r="H351" s="7" t="str">
        <f t="shared" si="53"/>
        <v/>
      </c>
      <c r="I351" s="7" t="str">
        <f t="shared" si="54"/>
        <v/>
      </c>
      <c r="J351" s="6" t="str">
        <f>IFERROR(_xlfn.CONCAT(_xlfn.TEXTSPLIT(SUBSTITUTE(SUBSTITUTE(LOWER(Q351),"æ","ae"), " de ", " "),{"b. ","ss. ","s. ","ss.mi ","in ",".",","," et","sanctae ","ę","ũ"})), "")</f>
        <v/>
      </c>
      <c r="K351" s="6" t="str">
        <f t="shared" si="55"/>
        <v/>
      </c>
      <c r="L351" s="6" t="str">
        <f t="shared" si="56"/>
        <v/>
      </c>
      <c r="M351" s="6"/>
      <c r="N351" s="1">
        <v>45987</v>
      </c>
    </row>
    <row r="352" spans="1:19" ht="14.4" customHeight="1" x14ac:dyDescent="0.3">
      <c r="A352" s="7" t="str">
        <f t="shared" si="48"/>
        <v/>
      </c>
      <c r="B352" s="7" t="str">
        <f t="shared" si="49"/>
        <v/>
      </c>
      <c r="C352" s="8" t="str">
        <f t="shared" si="50"/>
        <v/>
      </c>
      <c r="D352" s="8" t="str">
        <f t="shared" si="50"/>
        <v/>
      </c>
      <c r="E352" s="8" t="str">
        <f t="shared" si="51"/>
        <v/>
      </c>
      <c r="F352" s="7" t="s">
        <v>578</v>
      </c>
      <c r="G352" s="7" t="str">
        <f t="shared" si="52"/>
        <v>1127</v>
      </c>
      <c r="H352" s="7" t="str">
        <f t="shared" si="53"/>
        <v/>
      </c>
      <c r="I352" s="7" t="str">
        <f t="shared" si="54"/>
        <v/>
      </c>
      <c r="J352" s="6" t="str">
        <f>IFERROR(_xlfn.CONCAT(_xlfn.TEXTSPLIT(SUBSTITUTE(SUBSTITUTE(LOWER(Q352),"æ","ae"), " de ", " "),{"b. ","ss. ","s. ","ss.mi ","in ",".",","," et","sanctae ","ę","ũ"})), "")</f>
        <v/>
      </c>
      <c r="K352" s="6" t="str">
        <f t="shared" si="55"/>
        <v/>
      </c>
      <c r="L352" s="6" t="str">
        <f t="shared" si="56"/>
        <v/>
      </c>
      <c r="M352" s="6"/>
      <c r="N352" s="1">
        <v>45988</v>
      </c>
    </row>
    <row r="353" spans="1:20" ht="14.4" customHeight="1" x14ac:dyDescent="0.3">
      <c r="A353" s="7" t="str">
        <f t="shared" si="48"/>
        <v/>
      </c>
      <c r="B353" s="7" t="str">
        <f t="shared" si="49"/>
        <v/>
      </c>
      <c r="C353" s="8" t="str">
        <f t="shared" si="50"/>
        <v/>
      </c>
      <c r="D353" s="8" t="str">
        <f t="shared" si="50"/>
        <v/>
      </c>
      <c r="E353" s="8" t="str">
        <f t="shared" si="51"/>
        <v/>
      </c>
      <c r="F353" s="7" t="s">
        <v>578</v>
      </c>
      <c r="G353" s="7" t="str">
        <f t="shared" si="52"/>
        <v>1128</v>
      </c>
      <c r="H353" s="7" t="str">
        <f t="shared" si="53"/>
        <v/>
      </c>
      <c r="I353" s="7" t="str">
        <f t="shared" si="54"/>
        <v/>
      </c>
      <c r="J353" s="6" t="str">
        <f>IFERROR(_xlfn.CONCAT(_xlfn.TEXTSPLIT(SUBSTITUTE(SUBSTITUTE(LOWER(Q353),"æ","ae"), " de ", " "),{"b. ","ss. ","s. ","ss.mi ","in ",".",","," et","sanctae ","ę","ũ"})), "")</f>
        <v/>
      </c>
      <c r="K353" s="6" t="str">
        <f t="shared" si="55"/>
        <v/>
      </c>
      <c r="L353" s="6" t="str">
        <f t="shared" si="56"/>
        <v/>
      </c>
      <c r="M353" s="6"/>
      <c r="N353" s="1">
        <v>45989</v>
      </c>
    </row>
    <row r="354" spans="1:20" ht="14.4" customHeight="1" x14ac:dyDescent="0.3">
      <c r="A354" s="7" t="str">
        <f t="shared" si="48"/>
        <v/>
      </c>
      <c r="B354" s="7" t="str">
        <f t="shared" si="49"/>
        <v/>
      </c>
      <c r="C354" s="8" t="str">
        <f t="shared" si="50"/>
        <v/>
      </c>
      <c r="D354" s="8" t="str">
        <f t="shared" si="50"/>
        <v/>
      </c>
      <c r="E354" s="8" t="str">
        <f t="shared" si="51"/>
        <v/>
      </c>
      <c r="F354" s="7" t="s">
        <v>578</v>
      </c>
      <c r="G354" s="7" t="str">
        <f t="shared" si="52"/>
        <v>1129</v>
      </c>
      <c r="H354" s="7" t="str">
        <f t="shared" si="53"/>
        <v/>
      </c>
      <c r="I354" s="7" t="str">
        <f t="shared" si="54"/>
        <v/>
      </c>
      <c r="J354" s="6" t="str">
        <f>IFERROR(_xlfn.CONCAT(_xlfn.TEXTSPLIT(SUBSTITUTE(SUBSTITUTE(LOWER(Q354),"æ","ae"), " de ", " "),{"b. ","ss. ","s. ","ss.mi ","in ",".",","," et","sanctae ","ę","ũ"})), "")</f>
        <v/>
      </c>
      <c r="K354" s="6" t="str">
        <f t="shared" si="55"/>
        <v/>
      </c>
      <c r="L354" s="6" t="str">
        <f t="shared" si="56"/>
        <v/>
      </c>
      <c r="M354" s="6"/>
      <c r="N354" s="1">
        <v>45990</v>
      </c>
    </row>
    <row r="355" spans="1:20" ht="14.4" customHeight="1" x14ac:dyDescent="0.3">
      <c r="A355" s="7" t="str">
        <f t="shared" si="48"/>
        <v>fix.1130.071.andap</v>
      </c>
      <c r="B355" s="7" t="str">
        <f t="shared" si="49"/>
        <v>071</v>
      </c>
      <c r="C355" s="8" t="str">
        <f t="shared" si="50"/>
        <v xml:space="preserve">S. Andreæ, apostoli </v>
      </c>
      <c r="D355" s="8" t="str">
        <f t="shared" si="50"/>
        <v xml:space="preserve">St. Andrew, Apostle </v>
      </c>
      <c r="E355" s="8" t="str">
        <f t="shared" si="51"/>
        <v>성 안드레아 사도 축일</v>
      </c>
      <c r="F355" s="7" t="s">
        <v>578</v>
      </c>
      <c r="G355" s="7" t="str">
        <f t="shared" si="52"/>
        <v>1130</v>
      </c>
      <c r="H355" s="7" t="str">
        <f t="shared" si="53"/>
        <v>071</v>
      </c>
      <c r="I355" s="7" t="str">
        <f t="shared" si="54"/>
        <v>andap</v>
      </c>
      <c r="J355" s="6" t="str">
        <f>IFERROR(_xlfn.CONCAT(_xlfn.TEXTSPLIT(SUBSTITUTE(SUBSTITUTE(LOWER(Q355),"æ","ae"), " de ", " "),{"b. ","ss. ","s. ","ss.mi ","in ",".",","," et","sanctae ","ę","ũ"})), "")</f>
        <v xml:space="preserve">andreae apostoli </v>
      </c>
      <c r="K355" s="6">
        <f t="shared" si="55"/>
        <v>8</v>
      </c>
      <c r="L355" s="6" t="str">
        <f t="shared" si="56"/>
        <v>apostoli</v>
      </c>
      <c r="M355" s="6"/>
      <c r="N355" s="1">
        <v>45991</v>
      </c>
      <c r="O355" s="3" t="s">
        <v>463</v>
      </c>
      <c r="P355" s="4" t="s">
        <v>20</v>
      </c>
      <c r="Q355" s="2" t="s">
        <v>288</v>
      </c>
      <c r="R355" s="9" t="s">
        <v>783</v>
      </c>
      <c r="S355" s="2" t="s">
        <v>413</v>
      </c>
    </row>
    <row r="356" spans="1:20" ht="14.4" customHeight="1" x14ac:dyDescent="0.3">
      <c r="A356" s="7" t="str">
        <f t="shared" si="48"/>
        <v/>
      </c>
      <c r="B356" s="7" t="str">
        <f t="shared" si="49"/>
        <v/>
      </c>
      <c r="C356" s="8" t="str">
        <f t="shared" si="50"/>
        <v/>
      </c>
      <c r="D356" s="8" t="str">
        <f t="shared" si="50"/>
        <v/>
      </c>
      <c r="E356" s="8" t="str">
        <f t="shared" si="51"/>
        <v/>
      </c>
      <c r="F356" s="7" t="s">
        <v>578</v>
      </c>
      <c r="G356" s="7" t="str">
        <f t="shared" si="52"/>
        <v>1201</v>
      </c>
      <c r="H356" s="7" t="str">
        <f t="shared" si="53"/>
        <v/>
      </c>
      <c r="I356" s="7" t="str">
        <f t="shared" si="54"/>
        <v/>
      </c>
      <c r="J356" s="6" t="str">
        <f>IFERROR(_xlfn.CONCAT(_xlfn.TEXTSPLIT(SUBSTITUTE(SUBSTITUTE(LOWER(Q356),"æ","ae"), " de ", " "),{"b. ","ss. ","s. ","ss.mi ","in ",".",","," et","sanctae ","ę","ũ"})), "")</f>
        <v/>
      </c>
      <c r="K356" s="6" t="str">
        <f t="shared" si="55"/>
        <v/>
      </c>
      <c r="L356" s="6" t="str">
        <f t="shared" si="56"/>
        <v/>
      </c>
      <c r="M356" s="6"/>
      <c r="N356" s="1">
        <v>45992</v>
      </c>
    </row>
    <row r="357" spans="1:20" ht="14.4" customHeight="1" x14ac:dyDescent="0.3">
      <c r="A357" s="7" t="str">
        <f t="shared" si="48"/>
        <v/>
      </c>
      <c r="B357" s="7" t="str">
        <f t="shared" si="49"/>
        <v/>
      </c>
      <c r="C357" s="8" t="str">
        <f t="shared" si="50"/>
        <v/>
      </c>
      <c r="D357" s="8" t="str">
        <f t="shared" si="50"/>
        <v/>
      </c>
      <c r="E357" s="8" t="str">
        <f t="shared" si="51"/>
        <v/>
      </c>
      <c r="F357" s="7" t="s">
        <v>578</v>
      </c>
      <c r="G357" s="7" t="str">
        <f t="shared" si="52"/>
        <v>1202</v>
      </c>
      <c r="H357" s="7" t="str">
        <f t="shared" si="53"/>
        <v/>
      </c>
      <c r="I357" s="7" t="str">
        <f t="shared" si="54"/>
        <v/>
      </c>
      <c r="J357" s="6" t="str">
        <f>IFERROR(_xlfn.CONCAT(_xlfn.TEXTSPLIT(SUBSTITUTE(SUBSTITUTE(LOWER(Q357),"æ","ae"), " de ", " "),{"b. ","ss. ","s. ","ss.mi ","in ",".",","," et","sanctae ","ę","ũ"})), "")</f>
        <v/>
      </c>
      <c r="K357" s="6" t="str">
        <f t="shared" si="55"/>
        <v/>
      </c>
      <c r="L357" s="6" t="str">
        <f t="shared" si="56"/>
        <v/>
      </c>
      <c r="M357" s="6"/>
      <c r="N357" s="1">
        <v>45993</v>
      </c>
    </row>
    <row r="358" spans="1:20" ht="14.4" customHeight="1" x14ac:dyDescent="0.3">
      <c r="A358" s="7" t="str">
        <f t="shared" si="48"/>
        <v>fix.1203.101.fraxa</v>
      </c>
      <c r="B358" s="7" t="str">
        <f t="shared" si="49"/>
        <v>101</v>
      </c>
      <c r="C358" s="8" t="str">
        <f t="shared" si="50"/>
        <v>S. Francisci Xavier, presbyteri</v>
      </c>
      <c r="D358" s="8" t="str">
        <f t="shared" si="50"/>
        <v xml:space="preserve">St. Francis Xavier, Priest </v>
      </c>
      <c r="E358" s="8" t="str">
        <f t="shared" si="51"/>
        <v>성 프란치스코 하비에르 사제 기념일</v>
      </c>
      <c r="F358" s="7" t="s">
        <v>578</v>
      </c>
      <c r="G358" s="7" t="str">
        <f t="shared" si="52"/>
        <v>1203</v>
      </c>
      <c r="H358" s="7" t="str">
        <f t="shared" si="53"/>
        <v>101</v>
      </c>
      <c r="I358" s="7" t="str">
        <f t="shared" si="54"/>
        <v>fraxa</v>
      </c>
      <c r="J358" s="6" t="str">
        <f>IFERROR(_xlfn.CONCAT(_xlfn.TEXTSPLIT(SUBSTITUTE(SUBSTITUTE(LOWER(Q358),"æ","ae"), " de ", " "),{"b. ","ss. ","s. ","ss.mi ","in ",".",","," et","sanctae ","ę","ũ"})), "")</f>
        <v>francisci xavier presbyteri</v>
      </c>
      <c r="K358" s="6">
        <f t="shared" si="55"/>
        <v>10</v>
      </c>
      <c r="L358" s="6" t="str">
        <f t="shared" si="56"/>
        <v>xavierpresbyteri</v>
      </c>
      <c r="M358" s="6"/>
      <c r="N358" s="1">
        <v>45994</v>
      </c>
      <c r="O358" s="3">
        <v>101</v>
      </c>
      <c r="P358" s="4" t="s">
        <v>8</v>
      </c>
      <c r="Q358" s="2" t="s">
        <v>289</v>
      </c>
      <c r="R358" s="9" t="s">
        <v>785</v>
      </c>
      <c r="S358" s="2" t="s">
        <v>414</v>
      </c>
    </row>
    <row r="359" spans="1:20" ht="14.4" customHeight="1" x14ac:dyDescent="0.3">
      <c r="A359" s="7" t="str">
        <f t="shared" si="48"/>
        <v>fix.1204.121.ioada</v>
      </c>
      <c r="B359" s="7" t="str">
        <f t="shared" si="49"/>
        <v>121</v>
      </c>
      <c r="C359" s="8" t="str">
        <f t="shared" si="50"/>
        <v>S. Ioannis Damasceni, presbyteri et Ecclesiæ doctoris</v>
      </c>
      <c r="D359" s="8" t="str">
        <f t="shared" si="50"/>
        <v>St. John Damascene, Priest and Doctor of the Church</v>
      </c>
      <c r="E359" s="8" t="str">
        <f t="shared" si="51"/>
        <v>다마스쿠스의 성 요한 사제 학자</v>
      </c>
      <c r="F359" s="7" t="s">
        <v>578</v>
      </c>
      <c r="G359" s="7" t="str">
        <f t="shared" si="52"/>
        <v>1204</v>
      </c>
      <c r="H359" s="7" t="str">
        <f t="shared" si="53"/>
        <v>121</v>
      </c>
      <c r="I359" s="7" t="str">
        <f t="shared" si="54"/>
        <v>ioada</v>
      </c>
      <c r="J359" s="6" t="str">
        <f>IFERROR(_xlfn.CONCAT(_xlfn.TEXTSPLIT(SUBSTITUTE(SUBSTITUTE(LOWER(Q359),"æ","ae"), " de ", " "),{"b. ","ss. ","s. ","ss.mi ","in ",".",","," et","sanctae ","ę","ũ"})), "")</f>
        <v>ioannis damasceni presbyteri ecclesiae doctoris</v>
      </c>
      <c r="K359" s="6">
        <f t="shared" si="55"/>
        <v>8</v>
      </c>
      <c r="L359" s="6" t="str">
        <f t="shared" si="56"/>
        <v>damascenipresbyteriecclesiaedoctoris</v>
      </c>
      <c r="M359" s="6"/>
      <c r="N359" s="1">
        <v>45995</v>
      </c>
      <c r="O359" s="3" t="s">
        <v>471</v>
      </c>
      <c r="P359" s="4" t="s">
        <v>9</v>
      </c>
      <c r="Q359" s="2" t="s">
        <v>290</v>
      </c>
      <c r="R359" s="9" t="s">
        <v>786</v>
      </c>
      <c r="S359" s="2" t="s">
        <v>415</v>
      </c>
    </row>
    <row r="360" spans="1:20" ht="14.4" customHeight="1" x14ac:dyDescent="0.3">
      <c r="A360" s="7" t="str">
        <f t="shared" si="48"/>
        <v/>
      </c>
      <c r="B360" s="7" t="str">
        <f t="shared" si="49"/>
        <v/>
      </c>
      <c r="C360" s="8" t="str">
        <f t="shared" si="50"/>
        <v/>
      </c>
      <c r="D360" s="8" t="str">
        <f t="shared" si="50"/>
        <v/>
      </c>
      <c r="E360" s="8" t="str">
        <f t="shared" si="51"/>
        <v/>
      </c>
      <c r="F360" s="7" t="s">
        <v>578</v>
      </c>
      <c r="G360" s="7" t="str">
        <f t="shared" si="52"/>
        <v>1205</v>
      </c>
      <c r="H360" s="7" t="str">
        <f t="shared" si="53"/>
        <v/>
      </c>
      <c r="I360" s="7" t="str">
        <f t="shared" si="54"/>
        <v/>
      </c>
      <c r="J360" s="6" t="str">
        <f>IFERROR(_xlfn.CONCAT(_xlfn.TEXTSPLIT(SUBSTITUTE(SUBSTITUTE(LOWER(Q360),"æ","ae"), " de ", " "),{"b. ","ss. ","s. ","ss.mi ","in ",".",","," et","sanctae ","ę","ũ"})), "")</f>
        <v/>
      </c>
      <c r="K360" s="6" t="str">
        <f t="shared" si="55"/>
        <v/>
      </c>
      <c r="L360" s="6" t="str">
        <f t="shared" si="56"/>
        <v/>
      </c>
      <c r="M360" s="6"/>
      <c r="N360" s="1">
        <v>45996</v>
      </c>
    </row>
    <row r="361" spans="1:20" ht="14.4" customHeight="1" x14ac:dyDescent="0.3">
      <c r="A361" s="7" t="str">
        <f t="shared" si="48"/>
        <v>fix.1206.121.nicep</v>
      </c>
      <c r="B361" s="7" t="str">
        <f t="shared" si="49"/>
        <v>121</v>
      </c>
      <c r="C361" s="8" t="str">
        <f t="shared" si="50"/>
        <v>S. Nicolai, episcopi</v>
      </c>
      <c r="D361" s="8" t="str">
        <f t="shared" si="50"/>
        <v>St. Nicholas, Bishop</v>
      </c>
      <c r="E361" s="8" t="str">
        <f t="shared" si="51"/>
        <v>성 니콜라오 주교</v>
      </c>
      <c r="F361" s="7" t="s">
        <v>578</v>
      </c>
      <c r="G361" s="7" t="str">
        <f t="shared" si="52"/>
        <v>1206</v>
      </c>
      <c r="H361" s="7" t="str">
        <f t="shared" si="53"/>
        <v>121</v>
      </c>
      <c r="I361" s="7" t="str">
        <f t="shared" si="54"/>
        <v>nicep</v>
      </c>
      <c r="J361" s="6" t="str">
        <f>IFERROR(_xlfn.CONCAT(_xlfn.TEXTSPLIT(SUBSTITUTE(SUBSTITUTE(LOWER(Q361),"æ","ae"), " de ", " "),{"b. ","ss. ","s. ","ss.mi ","in ",".",","," et","sanctae ","ę","ũ"})), "")</f>
        <v>nicolai episcopi</v>
      </c>
      <c r="K361" s="6">
        <f t="shared" si="55"/>
        <v>8</v>
      </c>
      <c r="L361" s="6" t="str">
        <f t="shared" si="56"/>
        <v>episcopi</v>
      </c>
      <c r="M361" s="6"/>
      <c r="N361" s="1">
        <v>45997</v>
      </c>
      <c r="O361" s="3" t="s">
        <v>471</v>
      </c>
      <c r="P361" s="4" t="s">
        <v>9</v>
      </c>
      <c r="Q361" s="2" t="s">
        <v>291</v>
      </c>
      <c r="R361" s="9" t="s">
        <v>787</v>
      </c>
      <c r="S361" s="2" t="s">
        <v>416</v>
      </c>
    </row>
    <row r="362" spans="1:20" ht="14.4" customHeight="1" x14ac:dyDescent="0.3">
      <c r="A362" s="7" t="str">
        <f t="shared" si="48"/>
        <v>fix.1207.101.ambep</v>
      </c>
      <c r="B362" s="7" t="str">
        <f t="shared" si="49"/>
        <v>101</v>
      </c>
      <c r="C362" s="8" t="str">
        <f t="shared" si="50"/>
        <v>S. Ambrosii, episcopi et Ecclesiæ doctoris</v>
      </c>
      <c r="D362" s="8" t="str">
        <f t="shared" si="50"/>
        <v xml:space="preserve">St. Ambrose, Bishop and Doctor of the Church </v>
      </c>
      <c r="E362" s="8" t="str">
        <f t="shared" si="51"/>
        <v>성 암브로시오 주교 학자 기념일</v>
      </c>
      <c r="F362" s="7" t="s">
        <v>578</v>
      </c>
      <c r="G362" s="7" t="str">
        <f t="shared" si="52"/>
        <v>1207</v>
      </c>
      <c r="H362" s="7" t="str">
        <f t="shared" si="53"/>
        <v>101</v>
      </c>
      <c r="I362" s="7" t="str">
        <f t="shared" si="54"/>
        <v>ambep</v>
      </c>
      <c r="J362" s="6" t="str">
        <f>IFERROR(_xlfn.CONCAT(_xlfn.TEXTSPLIT(SUBSTITUTE(SUBSTITUTE(LOWER(Q362),"æ","ae"), " de ", " "),{"b. ","ss. ","s. ","ss.mi ","in ",".",","," et","sanctae ","ę","ũ"})), "")</f>
        <v>ambrosii episcopi ecclesiae doctoris</v>
      </c>
      <c r="K362" s="6">
        <f t="shared" si="55"/>
        <v>9</v>
      </c>
      <c r="L362" s="6" t="str">
        <f t="shared" si="56"/>
        <v>episcopiecclesiaedoctoris</v>
      </c>
      <c r="M362" s="6"/>
      <c r="N362" s="1">
        <v>45998</v>
      </c>
      <c r="O362" s="3">
        <v>101</v>
      </c>
      <c r="P362" s="4" t="s">
        <v>8</v>
      </c>
      <c r="Q362" s="2" t="s">
        <v>292</v>
      </c>
      <c r="R362" s="9" t="s">
        <v>788</v>
      </c>
      <c r="S362" s="2" t="s">
        <v>417</v>
      </c>
    </row>
    <row r="363" spans="1:20" ht="14.4" customHeight="1" x14ac:dyDescent="0.3">
      <c r="A363" s="7" t="str">
        <f t="shared" si="48"/>
        <v>fix.1208.031.conim</v>
      </c>
      <c r="B363" s="7" t="str">
        <f t="shared" si="49"/>
        <v>031</v>
      </c>
      <c r="C363" s="8" t="str">
        <f t="shared" si="50"/>
        <v>IN CONCEPTIONE IMMACULATA BEATÆ MARIÆ VIRGINIS</v>
      </c>
      <c r="D363" s="8" t="str">
        <f t="shared" si="50"/>
        <v xml:space="preserve">The Immaculate Conception of the Blessed Virgin Mary (Patronal day of the United States of America) </v>
      </c>
      <c r="E363" s="8" t="str">
        <f t="shared" si="51"/>
        <v>원죄 없이 잉태되신 복되신 동정 마리아 대축일</v>
      </c>
      <c r="F363" s="7" t="s">
        <v>578</v>
      </c>
      <c r="G363" s="7" t="str">
        <f t="shared" si="52"/>
        <v>1208</v>
      </c>
      <c r="H363" s="7" t="str">
        <f t="shared" si="53"/>
        <v>031</v>
      </c>
      <c r="I363" s="7" t="str">
        <f t="shared" si="54"/>
        <v>conim</v>
      </c>
      <c r="J363" s="6" t="str">
        <f>IFERROR(_xlfn.CONCAT(_xlfn.TEXTSPLIT(SUBSTITUTE(SUBSTITUTE(LOWER(Q363),"æ","ae"), " de ", " "),{"b. ","ss. ","s. ","ss.mi ","in ",".",","," et","sanctae ","ę","ũ"})), "")</f>
        <v>conceptione immaculata beatae mariae virginis</v>
      </c>
      <c r="K363" s="6">
        <f t="shared" si="55"/>
        <v>12</v>
      </c>
      <c r="L363" s="6" t="str">
        <f t="shared" si="56"/>
        <v>immaculatabeataemariaevirginis</v>
      </c>
      <c r="M363" s="6"/>
      <c r="N363" s="1">
        <v>45999</v>
      </c>
      <c r="O363" s="3" t="s">
        <v>459</v>
      </c>
      <c r="P363" s="4" t="s">
        <v>7</v>
      </c>
      <c r="Q363" s="2" t="s">
        <v>293</v>
      </c>
      <c r="R363" s="9" t="s">
        <v>789</v>
      </c>
      <c r="S363" s="2" t="s">
        <v>473</v>
      </c>
    </row>
    <row r="364" spans="1:20" ht="14.4" customHeight="1" x14ac:dyDescent="0.3">
      <c r="A364" s="7" t="str">
        <f t="shared" si="48"/>
        <v/>
      </c>
      <c r="B364" s="7" t="str">
        <f t="shared" si="49"/>
        <v/>
      </c>
      <c r="C364" s="8" t="str">
        <f t="shared" si="50"/>
        <v/>
      </c>
      <c r="D364" s="8" t="str">
        <f t="shared" si="50"/>
        <v/>
      </c>
      <c r="E364" s="8" t="str">
        <f t="shared" si="51"/>
        <v/>
      </c>
      <c r="F364" s="7" t="s">
        <v>578</v>
      </c>
      <c r="G364" s="7" t="str">
        <f t="shared" si="52"/>
        <v>1209</v>
      </c>
      <c r="H364" s="7" t="str">
        <f t="shared" si="53"/>
        <v/>
      </c>
      <c r="I364" s="7" t="str">
        <f t="shared" si="54"/>
        <v/>
      </c>
      <c r="J364" s="6" t="str">
        <f>IFERROR(_xlfn.CONCAT(_xlfn.TEXTSPLIT(SUBSTITUTE(SUBSTITUTE(LOWER(Q364),"æ","ae"), " de ", " "),{"b. ","ss. ","s. ","ss.mi ","in ",".",","," et","sanctae ","ę","ũ"})), "")</f>
        <v/>
      </c>
      <c r="K364" s="6" t="str">
        <f t="shared" si="55"/>
        <v/>
      </c>
      <c r="L364" s="6" t="str">
        <f t="shared" si="56"/>
        <v/>
      </c>
      <c r="M364" s="6"/>
      <c r="N364" s="1">
        <v>46000</v>
      </c>
    </row>
    <row r="365" spans="1:20" ht="14.4" customHeight="1" x14ac:dyDescent="0.3">
      <c r="A365" s="7" t="str">
        <f t="shared" si="48"/>
        <v>fix.1210.121.marvi</v>
      </c>
      <c r="B365" s="7" t="str">
        <f t="shared" si="49"/>
        <v>121</v>
      </c>
      <c r="C365" s="8" t="str">
        <f t="shared" si="50"/>
        <v>B. Mariæ Virginis de Loreto</v>
      </c>
      <c r="D365" s="8" t="str">
        <f t="shared" si="50"/>
        <v>St. Damasus I, Pope</v>
      </c>
      <c r="E365" s="8" t="str">
        <f t="shared" si="51"/>
        <v>로레토의 복되신 동정 마리아</v>
      </c>
      <c r="F365" s="7" t="s">
        <v>578</v>
      </c>
      <c r="G365" s="7" t="str">
        <f t="shared" si="52"/>
        <v>1210</v>
      </c>
      <c r="H365" s="7" t="str">
        <f t="shared" si="53"/>
        <v>121</v>
      </c>
      <c r="I365" s="7" t="str">
        <f t="shared" si="54"/>
        <v>marvi</v>
      </c>
      <c r="J365" s="6" t="str">
        <f>IFERROR(_xlfn.CONCAT(_xlfn.TEXTSPLIT(SUBSTITUTE(SUBSTITUTE(LOWER(Q365),"æ","ae"), " de ", " "),{"b. ","ss. ","s. ","ss.mi ","in ",".",","," et","sanctae ","ę","ũ"})), "")</f>
        <v>mariae virginis loreto</v>
      </c>
      <c r="K365" s="6">
        <f t="shared" si="55"/>
        <v>7</v>
      </c>
      <c r="L365" s="6" t="str">
        <f t="shared" si="56"/>
        <v>virginisloreto</v>
      </c>
      <c r="M365" s="6"/>
      <c r="N365" s="1">
        <v>46001</v>
      </c>
      <c r="O365" s="3" t="s">
        <v>471</v>
      </c>
      <c r="P365" s="4" t="s">
        <v>9</v>
      </c>
      <c r="Q365" s="2" t="s">
        <v>450</v>
      </c>
      <c r="R365" s="9" t="s">
        <v>790</v>
      </c>
      <c r="S365" s="2" t="s">
        <v>457</v>
      </c>
      <c r="T365" t="s">
        <v>449</v>
      </c>
    </row>
    <row r="366" spans="1:20" ht="14.4" customHeight="1" x14ac:dyDescent="0.3">
      <c r="A366" s="7" t="str">
        <f t="shared" si="48"/>
        <v>fix.1211.121.damip</v>
      </c>
      <c r="B366" s="7" t="str">
        <f t="shared" si="49"/>
        <v>121</v>
      </c>
      <c r="C366" s="8" t="str">
        <f t="shared" si="50"/>
        <v>S. Damasi I, papæ</v>
      </c>
      <c r="D366" s="8" t="str">
        <f t="shared" si="50"/>
        <v xml:space="preserve">Our Lady of Guadalupe </v>
      </c>
      <c r="E366" s="8" t="str">
        <f t="shared" si="51"/>
        <v>성 다마소 1세 교황</v>
      </c>
      <c r="F366" s="7" t="s">
        <v>578</v>
      </c>
      <c r="G366" s="7" t="str">
        <f t="shared" si="52"/>
        <v>1211</v>
      </c>
      <c r="H366" s="7" t="str">
        <f t="shared" si="53"/>
        <v>121</v>
      </c>
      <c r="I366" s="7" t="str">
        <f t="shared" si="54"/>
        <v>damip</v>
      </c>
      <c r="J366" s="6" t="str">
        <f>IFERROR(_xlfn.CONCAT(_xlfn.TEXTSPLIT(SUBSTITUTE(SUBSTITUTE(LOWER(Q366),"æ","ae"), " de ", " "),{"b. ","ss. ","s. ","ss.mi ","in ",".",","," et","sanctae ","ę","ũ"})), "")</f>
        <v>damasi i papae</v>
      </c>
      <c r="K366" s="6">
        <f t="shared" si="55"/>
        <v>7</v>
      </c>
      <c r="L366" s="6" t="str">
        <f t="shared" si="56"/>
        <v>ipapae</v>
      </c>
      <c r="M366" s="6"/>
      <c r="N366" s="1">
        <v>46002</v>
      </c>
      <c r="O366" s="3" t="s">
        <v>471</v>
      </c>
      <c r="P366" s="4" t="s">
        <v>9</v>
      </c>
      <c r="Q366" s="2" t="s">
        <v>294</v>
      </c>
      <c r="R366" s="9" t="s">
        <v>791</v>
      </c>
      <c r="S366" s="2" t="s">
        <v>419</v>
      </c>
    </row>
    <row r="367" spans="1:20" ht="14.4" customHeight="1" x14ac:dyDescent="0.3">
      <c r="A367" s="7" t="str">
        <f t="shared" si="48"/>
        <v>fix.1212.121.marvi</v>
      </c>
      <c r="B367" s="7" t="str">
        <f t="shared" si="49"/>
        <v>121</v>
      </c>
      <c r="C367" s="8" t="str">
        <f t="shared" si="50"/>
        <v>B. Mariæ Virginis de Guadalupe</v>
      </c>
      <c r="D367" s="8" t="str">
        <f t="shared" si="50"/>
        <v xml:space="preserve">St. Lucy, Virgin and Martyr </v>
      </c>
      <c r="E367" s="8" t="str">
        <f t="shared" si="51"/>
        <v>과달루페의 복되신 동정 마리아</v>
      </c>
      <c r="F367" s="7" t="s">
        <v>578</v>
      </c>
      <c r="G367" s="7" t="str">
        <f t="shared" si="52"/>
        <v>1212</v>
      </c>
      <c r="H367" s="7" t="str">
        <f t="shared" si="53"/>
        <v>121</v>
      </c>
      <c r="I367" s="7" t="str">
        <f t="shared" si="54"/>
        <v>marvi</v>
      </c>
      <c r="J367" s="6" t="str">
        <f>IFERROR(_xlfn.CONCAT(_xlfn.TEXTSPLIT(SUBSTITUTE(SUBSTITUTE(LOWER(Q367),"æ","ae"), " de ", " "),{"b. ","ss. ","s. ","ss.mi ","in ",".",","," et","sanctae ","ę","ũ"})), "")</f>
        <v>mariae virginis guadalupe</v>
      </c>
      <c r="K367" s="6">
        <f t="shared" si="55"/>
        <v>7</v>
      </c>
      <c r="L367" s="6" t="str">
        <f t="shared" si="56"/>
        <v>virginisguadalupe</v>
      </c>
      <c r="M367" s="6"/>
      <c r="N367" s="1">
        <v>46003</v>
      </c>
      <c r="O367" s="3" t="s">
        <v>471</v>
      </c>
      <c r="P367" s="4" t="s">
        <v>9</v>
      </c>
      <c r="Q367" s="2" t="s">
        <v>431</v>
      </c>
      <c r="R367" s="9" t="s">
        <v>792</v>
      </c>
      <c r="S367" s="2" t="s">
        <v>420</v>
      </c>
    </row>
    <row r="368" spans="1:20" ht="14.4" customHeight="1" x14ac:dyDescent="0.3">
      <c r="A368" s="7" t="str">
        <f t="shared" si="48"/>
        <v>fix.1213.101.lucvi</v>
      </c>
      <c r="B368" s="7" t="str">
        <f t="shared" si="49"/>
        <v>101</v>
      </c>
      <c r="C368" s="8" t="str">
        <f t="shared" si="50"/>
        <v>S. Luciæ, virginis et martyris</v>
      </c>
      <c r="D368" s="8" t="str">
        <f t="shared" si="50"/>
        <v xml:space="preserve">St. John of the Cross, Priest and Doctor of the Church </v>
      </c>
      <c r="E368" s="8" t="str">
        <f t="shared" si="51"/>
        <v>성녀 루치아 동정 순교자 기념일</v>
      </c>
      <c r="F368" s="7" t="s">
        <v>578</v>
      </c>
      <c r="G368" s="7" t="str">
        <f t="shared" si="52"/>
        <v>1213</v>
      </c>
      <c r="H368" s="7" t="str">
        <f t="shared" si="53"/>
        <v>101</v>
      </c>
      <c r="I368" s="7" t="str">
        <f t="shared" si="54"/>
        <v>lucvi</v>
      </c>
      <c r="J368" s="6" t="str">
        <f>IFERROR(_xlfn.CONCAT(_xlfn.TEXTSPLIT(SUBSTITUTE(SUBSTITUTE(LOWER(Q368),"æ","ae"), " de ", " "),{"b. ","ss. ","s. ","ss.mi ","in ",".",","," et","sanctae ","ę","ũ"})), "")</f>
        <v>luciae virginis martyris</v>
      </c>
      <c r="K368" s="6">
        <f t="shared" si="55"/>
        <v>7</v>
      </c>
      <c r="L368" s="6" t="str">
        <f t="shared" si="56"/>
        <v>virginismartyris</v>
      </c>
      <c r="M368" s="6"/>
      <c r="N368" s="1">
        <v>46004</v>
      </c>
      <c r="O368" s="3">
        <v>101</v>
      </c>
      <c r="P368" s="4" t="s">
        <v>8</v>
      </c>
      <c r="Q368" s="2" t="s">
        <v>295</v>
      </c>
      <c r="R368" s="9" t="s">
        <v>793</v>
      </c>
      <c r="S368" s="2" t="s">
        <v>421</v>
      </c>
    </row>
    <row r="369" spans="1:19" ht="14.4" customHeight="1" x14ac:dyDescent="0.3">
      <c r="A369" s="7" t="str">
        <f t="shared" si="48"/>
        <v>fix.1214.101.ioaac</v>
      </c>
      <c r="B369" s="7" t="str">
        <f t="shared" si="49"/>
        <v>101</v>
      </c>
      <c r="C369" s="8" t="str">
        <f t="shared" si="50"/>
        <v>S. Ioannis a Cruce, presbyteri et Ecclesiæ doctoris</v>
      </c>
      <c r="D369" s="8" t="str">
        <f t="shared" si="50"/>
        <v/>
      </c>
      <c r="E369" s="8" t="str">
        <f t="shared" si="51"/>
        <v>십자가의 성 요한 사제 학자 기념일</v>
      </c>
      <c r="F369" s="7" t="s">
        <v>578</v>
      </c>
      <c r="G369" s="7" t="str">
        <f t="shared" si="52"/>
        <v>1214</v>
      </c>
      <c r="H369" s="7" t="str">
        <f t="shared" si="53"/>
        <v>101</v>
      </c>
      <c r="I369" s="7" t="str">
        <f t="shared" si="54"/>
        <v>ioaac</v>
      </c>
      <c r="J369" s="6" t="str">
        <f>IFERROR(_xlfn.CONCAT(_xlfn.TEXTSPLIT(SUBSTITUTE(SUBSTITUTE(LOWER(Q369),"æ","ae"), " de ", " "),{"b. ","ss. ","s. ","ss.mi ","in ",".",","," et","sanctae ","ę","ũ"})), "")</f>
        <v>ioannis a cruce presbyteri ecclesiae doctoris</v>
      </c>
      <c r="K369" s="6">
        <f t="shared" si="55"/>
        <v>8</v>
      </c>
      <c r="L369" s="6" t="str">
        <f t="shared" si="56"/>
        <v>acrucepresbyteriecclesiaedoctoris</v>
      </c>
      <c r="M369" s="6"/>
      <c r="N369" s="1">
        <v>46005</v>
      </c>
      <c r="O369" s="3">
        <v>101</v>
      </c>
      <c r="P369" s="4" t="s">
        <v>8</v>
      </c>
      <c r="Q369" s="2" t="s">
        <v>296</v>
      </c>
      <c r="S369" s="2" t="s">
        <v>422</v>
      </c>
    </row>
    <row r="370" spans="1:19" ht="14.4" customHeight="1" x14ac:dyDescent="0.3">
      <c r="A370" s="7" t="str">
        <f t="shared" si="48"/>
        <v/>
      </c>
      <c r="B370" s="7" t="str">
        <f t="shared" si="49"/>
        <v/>
      </c>
      <c r="C370" s="8" t="str">
        <f t="shared" si="50"/>
        <v/>
      </c>
      <c r="D370" s="8" t="str">
        <f t="shared" si="50"/>
        <v/>
      </c>
      <c r="E370" s="8" t="str">
        <f t="shared" si="51"/>
        <v/>
      </c>
      <c r="F370" s="7" t="s">
        <v>578</v>
      </c>
      <c r="G370" s="7" t="str">
        <f t="shared" si="52"/>
        <v>1215</v>
      </c>
      <c r="H370" s="7" t="str">
        <f t="shared" si="53"/>
        <v/>
      </c>
      <c r="I370" s="7" t="str">
        <f t="shared" si="54"/>
        <v/>
      </c>
      <c r="J370" s="6" t="str">
        <f>IFERROR(_xlfn.CONCAT(_xlfn.TEXTSPLIT(SUBSTITUTE(SUBSTITUTE(LOWER(Q370),"æ","ae"), " de ", " "),{"b. ","ss. ","s. ","ss.mi ","in ",".",","," et","sanctae ","ę","ũ"})), "")</f>
        <v/>
      </c>
      <c r="K370" s="6" t="str">
        <f t="shared" si="55"/>
        <v/>
      </c>
      <c r="L370" s="6" t="str">
        <f t="shared" si="56"/>
        <v/>
      </c>
      <c r="M370" s="6"/>
      <c r="N370" s="1">
        <v>46006</v>
      </c>
    </row>
    <row r="371" spans="1:19" ht="14.4" customHeight="1" x14ac:dyDescent="0.3">
      <c r="A371" s="7" t="str">
        <f t="shared" si="48"/>
        <v/>
      </c>
      <c r="B371" s="7" t="str">
        <f t="shared" si="49"/>
        <v/>
      </c>
      <c r="C371" s="8" t="str">
        <f t="shared" si="50"/>
        <v/>
      </c>
      <c r="D371" s="8" t="str">
        <f t="shared" si="50"/>
        <v/>
      </c>
      <c r="E371" s="8" t="str">
        <f t="shared" si="51"/>
        <v/>
      </c>
      <c r="F371" s="7" t="s">
        <v>578</v>
      </c>
      <c r="G371" s="7" t="str">
        <f t="shared" si="52"/>
        <v>1216</v>
      </c>
      <c r="H371" s="7" t="str">
        <f t="shared" si="53"/>
        <v/>
      </c>
      <c r="I371" s="7" t="str">
        <f t="shared" si="54"/>
        <v/>
      </c>
      <c r="J371" s="6" t="str">
        <f>IFERROR(_xlfn.CONCAT(_xlfn.TEXTSPLIT(SUBSTITUTE(SUBSTITUTE(LOWER(Q371),"æ","ae"), " de ", " "),{"b. ","ss. ","s. ","ss.mi ","in ",".",","," et","sanctae ","ę","ũ"})), "")</f>
        <v/>
      </c>
      <c r="K371" s="6" t="str">
        <f t="shared" si="55"/>
        <v/>
      </c>
      <c r="L371" s="6" t="str">
        <f t="shared" si="56"/>
        <v/>
      </c>
      <c r="M371" s="6"/>
      <c r="N371" s="1">
        <v>46007</v>
      </c>
    </row>
    <row r="372" spans="1:19" ht="14.4" customHeight="1" x14ac:dyDescent="0.3">
      <c r="A372" s="7" t="str">
        <f t="shared" si="48"/>
        <v>fix.1217.091.die17</v>
      </c>
      <c r="B372" s="7" t="str">
        <f t="shared" si="49"/>
        <v>091</v>
      </c>
      <c r="C372" s="8" t="str">
        <f t="shared" si="50"/>
        <v>Die 17 Decembris</v>
      </c>
      <c r="D372" s="8" t="str">
        <f>IF(R372="","",TEXT(R372,""))</f>
        <v/>
      </c>
      <c r="E372" s="8" t="str">
        <f t="shared" si="51"/>
        <v>12월 17일</v>
      </c>
      <c r="F372" s="7" t="s">
        <v>578</v>
      </c>
      <c r="G372" s="7" t="str">
        <f t="shared" si="52"/>
        <v>1217</v>
      </c>
      <c r="H372" s="7" t="str">
        <f t="shared" si="53"/>
        <v>091</v>
      </c>
      <c r="I372" s="7" t="str">
        <f t="shared" si="54"/>
        <v>die17</v>
      </c>
      <c r="J372" s="6" t="str">
        <f>IFERROR(_xlfn.CONCAT(_xlfn.TEXTSPLIT(SUBSTITUTE(SUBSTITUTE(LOWER(Q372),"æ","ae"), " de ", " "),{"b. ","ss. ","s. ","ss.mi ","in ",".",","," et","sanctae ","ę","ũ"})), "")</f>
        <v>die 17 decembris</v>
      </c>
      <c r="K372" s="6">
        <f t="shared" si="55"/>
        <v>4</v>
      </c>
      <c r="L372" s="6" t="str">
        <f t="shared" si="56"/>
        <v>17decembris</v>
      </c>
      <c r="M372" s="6"/>
      <c r="N372" s="1">
        <v>46008</v>
      </c>
      <c r="O372" s="3" t="s">
        <v>524</v>
      </c>
      <c r="Q372" s="2" t="s">
        <v>525</v>
      </c>
      <c r="R372" s="9" t="s">
        <v>794</v>
      </c>
      <c r="S372" s="2" t="s">
        <v>516</v>
      </c>
    </row>
    <row r="373" spans="1:19" ht="14.4" customHeight="1" x14ac:dyDescent="0.3">
      <c r="A373" s="7" t="str">
        <f t="shared" si="48"/>
        <v>fix.1218.091.die18</v>
      </c>
      <c r="B373" s="7" t="str">
        <f t="shared" si="49"/>
        <v>091</v>
      </c>
      <c r="C373" s="8" t="str">
        <f t="shared" si="50"/>
        <v>Die 18 Decembris</v>
      </c>
      <c r="D373" s="8" t="str">
        <f t="shared" si="50"/>
        <v/>
      </c>
      <c r="E373" s="8" t="str">
        <f t="shared" si="51"/>
        <v>12월 18일</v>
      </c>
      <c r="F373" s="7" t="s">
        <v>578</v>
      </c>
      <c r="G373" s="7" t="str">
        <f t="shared" si="52"/>
        <v>1218</v>
      </c>
      <c r="H373" s="7" t="str">
        <f t="shared" si="53"/>
        <v>091</v>
      </c>
      <c r="I373" s="7" t="str">
        <f t="shared" si="54"/>
        <v>die18</v>
      </c>
      <c r="J373" s="6" t="str">
        <f>IFERROR(_xlfn.CONCAT(_xlfn.TEXTSPLIT(SUBSTITUTE(SUBSTITUTE(LOWER(Q373),"æ","ae"), " de ", " "),{"b. ","ss. ","s. ","ss.mi ","in ",".",","," et","sanctae ","ę","ũ"})), "")</f>
        <v>die 18 decembris</v>
      </c>
      <c r="K373" s="6">
        <f t="shared" si="55"/>
        <v>4</v>
      </c>
      <c r="L373" s="6" t="str">
        <f t="shared" si="56"/>
        <v>18decembris</v>
      </c>
      <c r="M373" s="6"/>
      <c r="N373" s="1">
        <v>46009</v>
      </c>
      <c r="O373" s="3" t="s">
        <v>524</v>
      </c>
      <c r="Q373" s="2" t="s">
        <v>526</v>
      </c>
      <c r="R373" s="9" t="s">
        <v>795</v>
      </c>
      <c r="S373" s="2" t="s">
        <v>517</v>
      </c>
    </row>
    <row r="374" spans="1:19" ht="14.4" customHeight="1" x14ac:dyDescent="0.3">
      <c r="A374" s="7" t="str">
        <f t="shared" si="48"/>
        <v>fix.1219.091.die19</v>
      </c>
      <c r="B374" s="7" t="str">
        <f t="shared" si="49"/>
        <v>091</v>
      </c>
      <c r="C374" s="8" t="str">
        <f t="shared" si="50"/>
        <v>Die 19 Decembris</v>
      </c>
      <c r="D374" s="8" t="str">
        <f t="shared" si="50"/>
        <v/>
      </c>
      <c r="E374" s="8" t="str">
        <f t="shared" si="51"/>
        <v>12월 19일</v>
      </c>
      <c r="F374" s="7" t="s">
        <v>578</v>
      </c>
      <c r="G374" s="7" t="str">
        <f t="shared" si="52"/>
        <v>1219</v>
      </c>
      <c r="H374" s="7" t="str">
        <f t="shared" si="53"/>
        <v>091</v>
      </c>
      <c r="I374" s="7" t="str">
        <f t="shared" si="54"/>
        <v>die19</v>
      </c>
      <c r="J374" s="6" t="str">
        <f>IFERROR(_xlfn.CONCAT(_xlfn.TEXTSPLIT(SUBSTITUTE(SUBSTITUTE(LOWER(Q374),"æ","ae"), " de ", " "),{"b. ","ss. ","s. ","ss.mi ","in ",".",","," et","sanctae ","ę","ũ"})), "")</f>
        <v>die 19 decembris</v>
      </c>
      <c r="K374" s="6">
        <f t="shared" si="55"/>
        <v>4</v>
      </c>
      <c r="L374" s="6" t="str">
        <f t="shared" si="56"/>
        <v>19decembris</v>
      </c>
      <c r="M374" s="6"/>
      <c r="N374" s="1">
        <v>46010</v>
      </c>
      <c r="O374" s="3" t="s">
        <v>524</v>
      </c>
      <c r="Q374" s="2" t="s">
        <v>527</v>
      </c>
      <c r="R374" s="9" t="s">
        <v>796</v>
      </c>
      <c r="S374" s="2" t="s">
        <v>518</v>
      </c>
    </row>
    <row r="375" spans="1:19" ht="14.4" customHeight="1" x14ac:dyDescent="0.3">
      <c r="A375" s="7" t="str">
        <f t="shared" si="48"/>
        <v>fix.1220.091.die20</v>
      </c>
      <c r="B375" s="7" t="str">
        <f t="shared" si="49"/>
        <v>091</v>
      </c>
      <c r="C375" s="8" t="str">
        <f t="shared" si="50"/>
        <v>Die 20 Decembris</v>
      </c>
      <c r="D375" s="8" t="str">
        <f t="shared" si="50"/>
        <v/>
      </c>
      <c r="E375" s="8" t="str">
        <f t="shared" si="51"/>
        <v>12월 20일</v>
      </c>
      <c r="F375" s="7" t="s">
        <v>578</v>
      </c>
      <c r="G375" s="7" t="str">
        <f t="shared" si="52"/>
        <v>1220</v>
      </c>
      <c r="H375" s="7" t="str">
        <f t="shared" si="53"/>
        <v>091</v>
      </c>
      <c r="I375" s="7" t="str">
        <f t="shared" si="54"/>
        <v>die20</v>
      </c>
      <c r="J375" s="6" t="str">
        <f>IFERROR(_xlfn.CONCAT(_xlfn.TEXTSPLIT(SUBSTITUTE(SUBSTITUTE(LOWER(Q375),"æ","ae"), " de ", " "),{"b. ","ss. ","s. ","ss.mi ","in ",".",","," et","sanctae ","ę","ũ"})), "")</f>
        <v>die 20 decembris</v>
      </c>
      <c r="K375" s="6">
        <f t="shared" si="55"/>
        <v>4</v>
      </c>
      <c r="L375" s="6" t="str">
        <f t="shared" si="56"/>
        <v>20decembris</v>
      </c>
      <c r="M375" s="6"/>
      <c r="N375" s="1">
        <v>46011</v>
      </c>
      <c r="O375" s="3" t="s">
        <v>524</v>
      </c>
      <c r="Q375" s="2" t="s">
        <v>528</v>
      </c>
      <c r="R375" s="9" t="s">
        <v>797</v>
      </c>
      <c r="S375" s="2" t="s">
        <v>519</v>
      </c>
    </row>
    <row r="376" spans="1:19" ht="14.4" customHeight="1" x14ac:dyDescent="0.3">
      <c r="A376" s="7" t="str">
        <f t="shared" si="48"/>
        <v>fix.1221.091.die21</v>
      </c>
      <c r="B376" s="7" t="str">
        <f t="shared" si="49"/>
        <v>091</v>
      </c>
      <c r="C376" s="8" t="str">
        <f t="shared" si="50"/>
        <v>Die 21 Decembris</v>
      </c>
      <c r="D376" s="8" t="str">
        <f t="shared" si="50"/>
        <v/>
      </c>
      <c r="E376" s="8" t="str">
        <f t="shared" si="51"/>
        <v>12월 21일</v>
      </c>
      <c r="F376" s="7" t="s">
        <v>578</v>
      </c>
      <c r="G376" s="7" t="str">
        <f t="shared" si="52"/>
        <v>1221</v>
      </c>
      <c r="H376" s="7" t="str">
        <f t="shared" si="53"/>
        <v>091</v>
      </c>
      <c r="I376" s="7" t="str">
        <f t="shared" si="54"/>
        <v>die21</v>
      </c>
      <c r="J376" s="6" t="str">
        <f>IFERROR(_xlfn.CONCAT(_xlfn.TEXTSPLIT(SUBSTITUTE(SUBSTITUTE(LOWER(Q376),"æ","ae"), " de ", " "),{"b. ","ss. ","s. ","ss.mi ","in ",".",","," et","sanctae ","ę","ũ"})), "")</f>
        <v>die 21 decembris</v>
      </c>
      <c r="K376" s="6">
        <f t="shared" si="55"/>
        <v>4</v>
      </c>
      <c r="L376" s="6" t="str">
        <f t="shared" si="56"/>
        <v>21decembris</v>
      </c>
      <c r="M376" s="6"/>
      <c r="N376" s="1">
        <v>46012</v>
      </c>
      <c r="O376" s="3" t="s">
        <v>524</v>
      </c>
      <c r="Q376" s="2" t="s">
        <v>531</v>
      </c>
      <c r="R376" s="9" t="s">
        <v>798</v>
      </c>
      <c r="S376" s="2" t="s">
        <v>520</v>
      </c>
    </row>
    <row r="377" spans="1:19" ht="14.4" customHeight="1" x14ac:dyDescent="0.3">
      <c r="A377" s="7" t="str">
        <f t="shared" si="48"/>
        <v>fix.1221.121.petca</v>
      </c>
      <c r="B377" s="7" t="str">
        <f t="shared" si="49"/>
        <v>121</v>
      </c>
      <c r="C377" s="8" t="str">
        <f t="shared" si="50"/>
        <v>S. Petri Canisii, presbyteri et Ecclesiæ doctoris</v>
      </c>
      <c r="D377" s="8" t="str">
        <f t="shared" si="50"/>
        <v>St. Peter Canisius, Priest and Doctor of the Church</v>
      </c>
      <c r="E377" s="8" t="str">
        <f t="shared" si="51"/>
        <v>성 베드로 가니시오 사제 학자</v>
      </c>
      <c r="F377" s="7" t="s">
        <v>578</v>
      </c>
      <c r="G377" s="7" t="str">
        <f t="shared" si="52"/>
        <v>1221</v>
      </c>
      <c r="H377" s="7" t="str">
        <f t="shared" si="53"/>
        <v>121</v>
      </c>
      <c r="I377" s="7" t="str">
        <f t="shared" si="54"/>
        <v>petca</v>
      </c>
      <c r="J377" s="6" t="str">
        <f>IFERROR(_xlfn.CONCAT(_xlfn.TEXTSPLIT(SUBSTITUTE(SUBSTITUTE(LOWER(Q377),"æ","ae"), " de ", " "),{"b. ","ss. ","s. ","ss.mi ","in ",".",","," et","sanctae ","ę","ũ"})), "")</f>
        <v>petri canisii presbyteri ecclesiae doctoris</v>
      </c>
      <c r="K377" s="6">
        <f t="shared" si="55"/>
        <v>6</v>
      </c>
      <c r="L377" s="6" t="str">
        <f t="shared" si="56"/>
        <v>canisiipresbyteriecclesiaedoctoris</v>
      </c>
      <c r="M377" s="6"/>
      <c r="N377" s="1">
        <v>46012</v>
      </c>
      <c r="O377" s="3" t="s">
        <v>471</v>
      </c>
      <c r="P377" s="4" t="s">
        <v>9</v>
      </c>
      <c r="Q377" s="2" t="s">
        <v>297</v>
      </c>
      <c r="R377" s="9" t="s">
        <v>802</v>
      </c>
      <c r="S377" s="2" t="s">
        <v>423</v>
      </c>
    </row>
    <row r="378" spans="1:19" ht="14.4" customHeight="1" x14ac:dyDescent="0.3">
      <c r="A378" s="7" t="str">
        <f t="shared" si="48"/>
        <v>fix.1222.091.die22</v>
      </c>
      <c r="B378" s="7" t="str">
        <f t="shared" si="49"/>
        <v>091</v>
      </c>
      <c r="C378" s="8" t="str">
        <f t="shared" si="50"/>
        <v>Die 22 Decembris</v>
      </c>
      <c r="D378" s="8" t="str">
        <f t="shared" si="50"/>
        <v/>
      </c>
      <c r="E378" s="8" t="str">
        <f t="shared" si="51"/>
        <v>12월 22일</v>
      </c>
      <c r="F378" s="7" t="s">
        <v>578</v>
      </c>
      <c r="G378" s="7" t="str">
        <f t="shared" si="52"/>
        <v>1222</v>
      </c>
      <c r="H378" s="7" t="str">
        <f t="shared" si="53"/>
        <v>091</v>
      </c>
      <c r="I378" s="7" t="str">
        <f t="shared" si="54"/>
        <v>die22</v>
      </c>
      <c r="J378" s="6" t="str">
        <f>IFERROR(_xlfn.CONCAT(_xlfn.TEXTSPLIT(SUBSTITUTE(SUBSTITUTE(LOWER(Q378),"æ","ae"), " de ", " "),{"b. ","ss. ","s. ","ss.mi ","in ",".",","," et","sanctae ","ę","ũ"})), "")</f>
        <v>die 22 decembris</v>
      </c>
      <c r="K378" s="6">
        <f t="shared" si="55"/>
        <v>4</v>
      </c>
      <c r="L378" s="6" t="str">
        <f t="shared" si="56"/>
        <v>22decembris</v>
      </c>
      <c r="M378" s="6"/>
      <c r="N378" s="1">
        <v>46013</v>
      </c>
      <c r="O378" s="3" t="s">
        <v>524</v>
      </c>
      <c r="Q378" s="2" t="s">
        <v>529</v>
      </c>
      <c r="R378" s="9" t="s">
        <v>799</v>
      </c>
      <c r="S378" s="2" t="s">
        <v>521</v>
      </c>
    </row>
    <row r="379" spans="1:19" ht="14.4" customHeight="1" x14ac:dyDescent="0.3">
      <c r="A379" s="7" t="str">
        <f t="shared" si="48"/>
        <v>fix.1223.091.die23</v>
      </c>
      <c r="B379" s="7" t="str">
        <f t="shared" si="49"/>
        <v>091</v>
      </c>
      <c r="C379" s="8" t="str">
        <f t="shared" si="50"/>
        <v>Die 23 Decembris</v>
      </c>
      <c r="D379" s="8" t="str">
        <f t="shared" si="50"/>
        <v/>
      </c>
      <c r="E379" s="8" t="str">
        <f t="shared" si="51"/>
        <v>12월 23일</v>
      </c>
      <c r="F379" s="7" t="s">
        <v>578</v>
      </c>
      <c r="G379" s="7" t="str">
        <f t="shared" si="52"/>
        <v>1223</v>
      </c>
      <c r="H379" s="7" t="str">
        <f t="shared" si="53"/>
        <v>091</v>
      </c>
      <c r="I379" s="7" t="str">
        <f t="shared" si="54"/>
        <v>die23</v>
      </c>
      <c r="J379" s="6" t="str">
        <f>IFERROR(_xlfn.CONCAT(_xlfn.TEXTSPLIT(SUBSTITUTE(SUBSTITUTE(LOWER(Q379),"æ","ae"), " de ", " "),{"b. ","ss. ","s. ","ss.mi ","in ",".",","," et","sanctae ","ę","ũ"})), "")</f>
        <v>die 23 decembris</v>
      </c>
      <c r="K379" s="6">
        <f t="shared" si="55"/>
        <v>4</v>
      </c>
      <c r="L379" s="6" t="str">
        <f t="shared" si="56"/>
        <v>23decembris</v>
      </c>
      <c r="M379" s="6"/>
      <c r="N379" s="1">
        <v>46014</v>
      </c>
      <c r="O379" s="3" t="s">
        <v>524</v>
      </c>
      <c r="Q379" s="2" t="s">
        <v>532</v>
      </c>
      <c r="R379" s="9" t="s">
        <v>800</v>
      </c>
      <c r="S379" s="2" t="s">
        <v>522</v>
      </c>
    </row>
    <row r="380" spans="1:19" ht="14.4" customHeight="1" x14ac:dyDescent="0.3">
      <c r="A380" s="7" t="str">
        <f t="shared" si="48"/>
        <v>fix.1223.121.ioakt</v>
      </c>
      <c r="B380" s="7" t="str">
        <f t="shared" si="49"/>
        <v>121</v>
      </c>
      <c r="C380" s="8" t="str">
        <f t="shared" si="50"/>
        <v>S. Ioannis de Kęty, presbyteri</v>
      </c>
      <c r="D380" s="8" t="str">
        <f t="shared" si="50"/>
        <v>St. John of Kanty, Priest</v>
      </c>
      <c r="E380" s="8" t="str">
        <f t="shared" si="51"/>
        <v>켕티의 성 요한 사제</v>
      </c>
      <c r="F380" s="7" t="s">
        <v>578</v>
      </c>
      <c r="G380" s="7" t="str">
        <f t="shared" si="52"/>
        <v>1223</v>
      </c>
      <c r="H380" s="7" t="str">
        <f t="shared" si="53"/>
        <v>121</v>
      </c>
      <c r="I380" s="7" t="str">
        <f t="shared" si="54"/>
        <v>ioakt</v>
      </c>
      <c r="J380" s="6" t="str">
        <f>IFERROR(_xlfn.CONCAT(_xlfn.TEXTSPLIT(SUBSTITUTE(SUBSTITUTE(LOWER(Q380),"æ","ae"), " de ", " "),{"b. ","ss. ","s. ","ss.mi ","in ",".",","," et","sanctae ","ę","ũ"})), "")</f>
        <v>ioannis kty presbyteri</v>
      </c>
      <c r="K380" s="6">
        <f t="shared" si="55"/>
        <v>8</v>
      </c>
      <c r="L380" s="6" t="str">
        <f t="shared" si="56"/>
        <v>ktypresbyteri</v>
      </c>
      <c r="M380" s="6"/>
      <c r="N380" s="1">
        <v>46014</v>
      </c>
      <c r="O380" s="3" t="s">
        <v>471</v>
      </c>
      <c r="P380" s="4" t="s">
        <v>9</v>
      </c>
      <c r="Q380" s="2" t="s">
        <v>298</v>
      </c>
      <c r="R380" s="9" t="s">
        <v>803</v>
      </c>
      <c r="S380" s="2" t="s">
        <v>424</v>
      </c>
    </row>
    <row r="381" spans="1:19" ht="14.4" customHeight="1" x14ac:dyDescent="0.3">
      <c r="A381" s="7" t="str">
        <f t="shared" si="48"/>
        <v>fix.1224.091.die24</v>
      </c>
      <c r="B381" s="7" t="str">
        <f t="shared" si="49"/>
        <v>091</v>
      </c>
      <c r="C381" s="8" t="str">
        <f t="shared" si="50"/>
        <v>Die 24 Decembris</v>
      </c>
      <c r="D381" s="8" t="str">
        <f t="shared" si="50"/>
        <v/>
      </c>
      <c r="E381" s="8" t="str">
        <f t="shared" si="51"/>
        <v>12월 24일</v>
      </c>
      <c r="F381" s="7" t="s">
        <v>578</v>
      </c>
      <c r="G381" s="7" t="str">
        <f t="shared" si="52"/>
        <v>1224</v>
      </c>
      <c r="H381" s="7" t="str">
        <f t="shared" si="53"/>
        <v>091</v>
      </c>
      <c r="I381" s="7" t="str">
        <f t="shared" si="54"/>
        <v>die24</v>
      </c>
      <c r="J381" s="6" t="str">
        <f>IFERROR(_xlfn.CONCAT(_xlfn.TEXTSPLIT(SUBSTITUTE(SUBSTITUTE(LOWER(Q381),"æ","ae"), " de ", " "),{"b. ","ss. ","s. ","ss.mi ","in ",".",","," et","sanctae ","ę","ũ"})), "")</f>
        <v>die 24 decembris</v>
      </c>
      <c r="K381" s="6">
        <f t="shared" si="55"/>
        <v>4</v>
      </c>
      <c r="L381" s="6" t="str">
        <f t="shared" si="56"/>
        <v>24decembris</v>
      </c>
      <c r="M381" s="6"/>
      <c r="N381" s="1">
        <v>46015</v>
      </c>
      <c r="O381" s="3" t="s">
        <v>524</v>
      </c>
      <c r="Q381" s="2" t="s">
        <v>530</v>
      </c>
      <c r="R381" s="9" t="s">
        <v>801</v>
      </c>
      <c r="S381" s="2" t="s">
        <v>523</v>
      </c>
    </row>
    <row r="382" spans="1:19" ht="14.4" customHeight="1" x14ac:dyDescent="0.3">
      <c r="A382" s="7" t="str">
        <f t="shared" si="48"/>
        <v>fix.1225.021.natdo</v>
      </c>
      <c r="B382" s="7" t="str">
        <f t="shared" si="49"/>
        <v>021</v>
      </c>
      <c r="C382" s="8" t="str">
        <f t="shared" si="50"/>
        <v>IN NATIVITATE DOMINI</v>
      </c>
      <c r="D382" s="8" t="str">
        <f t="shared" si="50"/>
        <v xml:space="preserve">The Nativity of the Lord (Christmas) </v>
      </c>
      <c r="E382" s="8" t="str">
        <f t="shared" si="51"/>
        <v>주님 성탄 대축일</v>
      </c>
      <c r="F382" s="7" t="s">
        <v>578</v>
      </c>
      <c r="G382" s="7" t="str">
        <f t="shared" si="52"/>
        <v>1225</v>
      </c>
      <c r="H382" s="7" t="str">
        <f t="shared" si="53"/>
        <v>021</v>
      </c>
      <c r="I382" s="7" t="str">
        <f t="shared" si="54"/>
        <v>natdo</v>
      </c>
      <c r="J382" s="6" t="str">
        <f>IFERROR(_xlfn.CONCAT(_xlfn.TEXTSPLIT(SUBSTITUTE(SUBSTITUTE(LOWER(Q382),"æ","ae"), " de ", " "),{"b. ","ss. ","s. ","ss.mi ","in ",".",","," et","sanctae ","ę","ũ"})), "")</f>
        <v>nativitate domini</v>
      </c>
      <c r="K382" s="6">
        <f t="shared" si="55"/>
        <v>11</v>
      </c>
      <c r="L382" s="6" t="str">
        <f t="shared" si="56"/>
        <v>domini</v>
      </c>
      <c r="M382" s="6"/>
      <c r="N382" s="1">
        <v>46016</v>
      </c>
      <c r="O382" s="3" t="s">
        <v>460</v>
      </c>
      <c r="P382" s="4" t="s">
        <v>7</v>
      </c>
      <c r="Q382" s="2" t="s">
        <v>299</v>
      </c>
      <c r="R382" s="9" t="s">
        <v>804</v>
      </c>
      <c r="S382" s="2" t="s">
        <v>425</v>
      </c>
    </row>
    <row r="383" spans="1:19" ht="14.4" customHeight="1" x14ac:dyDescent="0.3">
      <c r="A383" s="7" t="str">
        <f t="shared" si="48"/>
        <v>fix.1226.071.stepr</v>
      </c>
      <c r="B383" s="7" t="str">
        <f t="shared" si="49"/>
        <v>071</v>
      </c>
      <c r="C383" s="8" t="str">
        <f t="shared" si="50"/>
        <v>S. Stephani, protomartyris</v>
      </c>
      <c r="D383" s="8" t="str">
        <f t="shared" si="50"/>
        <v xml:space="preserve">St. Stephen, The First Martyr </v>
      </c>
      <c r="E383" s="8" t="str">
        <f t="shared" si="51"/>
        <v>성 스테파노 첫 순교자 축일</v>
      </c>
      <c r="F383" s="7" t="s">
        <v>578</v>
      </c>
      <c r="G383" s="7" t="str">
        <f t="shared" si="52"/>
        <v>1226</v>
      </c>
      <c r="H383" s="7" t="str">
        <f t="shared" si="53"/>
        <v>071</v>
      </c>
      <c r="I383" s="7" t="str">
        <f t="shared" si="54"/>
        <v>stepr</v>
      </c>
      <c r="J383" s="6" t="str">
        <f>IFERROR(_xlfn.CONCAT(_xlfn.TEXTSPLIT(SUBSTITUTE(SUBSTITUTE(LOWER(Q383),"æ","ae"), " de ", " "),{"b. ","ss. ","s. ","ss.mi ","in ",".",","," et","sanctae ","ę","ũ"})), "")</f>
        <v>stephani protomartyris</v>
      </c>
      <c r="K383" s="6">
        <f t="shared" si="55"/>
        <v>9</v>
      </c>
      <c r="L383" s="6" t="str">
        <f t="shared" si="56"/>
        <v>protomartyris</v>
      </c>
      <c r="M383" s="6"/>
      <c r="N383" s="1">
        <v>46017</v>
      </c>
      <c r="O383" s="3" t="s">
        <v>463</v>
      </c>
      <c r="P383" s="4" t="s">
        <v>20</v>
      </c>
      <c r="Q383" s="2" t="s">
        <v>300</v>
      </c>
      <c r="R383" s="9" t="s">
        <v>805</v>
      </c>
      <c r="S383" s="2" t="s">
        <v>426</v>
      </c>
    </row>
    <row r="384" spans="1:19" ht="14.4" customHeight="1" x14ac:dyDescent="0.3">
      <c r="A384" s="7" t="str">
        <f t="shared" si="48"/>
        <v>fix.1227.071.ioaap</v>
      </c>
      <c r="B384" s="7" t="str">
        <f t="shared" si="49"/>
        <v>071</v>
      </c>
      <c r="C384" s="8" t="str">
        <f t="shared" si="50"/>
        <v>S. Ioannis, apostoli et evangelistæ</v>
      </c>
      <c r="D384" s="8" t="str">
        <f t="shared" si="50"/>
        <v xml:space="preserve">St. John, Apostle and Evangelist </v>
      </c>
      <c r="E384" s="8" t="str">
        <f t="shared" si="51"/>
        <v>성 요한 사도 복음사가 축일</v>
      </c>
      <c r="F384" s="7" t="s">
        <v>578</v>
      </c>
      <c r="G384" s="7" t="str">
        <f t="shared" si="52"/>
        <v>1227</v>
      </c>
      <c r="H384" s="7" t="str">
        <f t="shared" si="53"/>
        <v>071</v>
      </c>
      <c r="I384" s="7" t="str">
        <f t="shared" si="54"/>
        <v>ioaap</v>
      </c>
      <c r="J384" s="6" t="str">
        <f>IFERROR(_xlfn.CONCAT(_xlfn.TEXTSPLIT(SUBSTITUTE(SUBSTITUTE(LOWER(Q384),"æ","ae"), " de ", " "),{"b. ","ss. ","s. ","ss.mi ","in ",".",","," et","sanctae ","ę","ũ"})), "")</f>
        <v>ioannis apostoli evangelistae</v>
      </c>
      <c r="K384" s="6">
        <f t="shared" si="55"/>
        <v>8</v>
      </c>
      <c r="L384" s="6" t="str">
        <f t="shared" si="56"/>
        <v>apostolievangelistae</v>
      </c>
      <c r="M384" s="6"/>
      <c r="N384" s="1">
        <v>46018</v>
      </c>
      <c r="O384" s="3" t="s">
        <v>463</v>
      </c>
      <c r="P384" s="4" t="s">
        <v>20</v>
      </c>
      <c r="Q384" s="2" t="s">
        <v>301</v>
      </c>
      <c r="R384" s="9" t="s">
        <v>806</v>
      </c>
      <c r="S384" s="2" t="s">
        <v>427</v>
      </c>
    </row>
    <row r="385" spans="1:19" ht="14.4" customHeight="1" x14ac:dyDescent="0.3">
      <c r="A385" s="7" t="str">
        <f t="shared" si="48"/>
        <v>fix.1228.071.innma</v>
      </c>
      <c r="B385" s="7" t="str">
        <f t="shared" si="49"/>
        <v>071</v>
      </c>
      <c r="C385" s="8" t="str">
        <f t="shared" si="50"/>
        <v>Ss. Innocentium, martyrum</v>
      </c>
      <c r="D385" s="8" t="str">
        <f t="shared" si="50"/>
        <v xml:space="preserve">The Holy Innocents, Martyrs </v>
      </c>
      <c r="E385" s="8" t="str">
        <f t="shared" si="51"/>
        <v>죄 없는 아기 순교자들 축일</v>
      </c>
      <c r="F385" s="7" t="s">
        <v>578</v>
      </c>
      <c r="G385" s="7" t="str">
        <f t="shared" si="52"/>
        <v>1228</v>
      </c>
      <c r="H385" s="7" t="str">
        <f t="shared" si="53"/>
        <v>071</v>
      </c>
      <c r="I385" s="7" t="str">
        <f t="shared" si="54"/>
        <v>innma</v>
      </c>
      <c r="J385" s="6" t="str">
        <f>IFERROR(_xlfn.CONCAT(_xlfn.TEXTSPLIT(SUBSTITUTE(SUBSTITUTE(LOWER(Q385),"æ","ae"), " de ", " "),{"b. ","ss. ","s. ","ss.mi ","in ",".",","," et","sanctae ","ę","ũ"})), "")</f>
        <v>innocentium martyrum</v>
      </c>
      <c r="K385" s="6">
        <f t="shared" si="55"/>
        <v>12</v>
      </c>
      <c r="L385" s="6" t="str">
        <f t="shared" si="56"/>
        <v>martyrum</v>
      </c>
      <c r="M385" s="6"/>
      <c r="N385" s="1">
        <v>46019</v>
      </c>
      <c r="O385" s="3" t="s">
        <v>463</v>
      </c>
      <c r="P385" s="4" t="s">
        <v>20</v>
      </c>
      <c r="Q385" s="2" t="s">
        <v>302</v>
      </c>
      <c r="R385" s="9" t="s">
        <v>807</v>
      </c>
      <c r="S385" s="2" t="s">
        <v>428</v>
      </c>
    </row>
    <row r="386" spans="1:19" ht="14.4" customHeight="1" x14ac:dyDescent="0.3">
      <c r="A386" s="7" t="str">
        <f t="shared" si="48"/>
        <v>fix.1229.092.devdi</v>
      </c>
      <c r="B386" s="7" t="str">
        <f t="shared" si="49"/>
        <v>092</v>
      </c>
      <c r="C386" s="8" t="str">
        <f t="shared" si="50"/>
        <v>De V die infra octavam Nativitatis</v>
      </c>
      <c r="D386" s="8" t="str">
        <f t="shared" si="50"/>
        <v>Fifth Day within the Octave of the Nativity of the Lord [Christmas]</v>
      </c>
      <c r="E386" s="8" t="str">
        <f t="shared" si="51"/>
        <v>성탄 팔일 축제 제5일</v>
      </c>
      <c r="F386" s="7" t="s">
        <v>578</v>
      </c>
      <c r="G386" s="7" t="str">
        <f t="shared" si="52"/>
        <v>1229</v>
      </c>
      <c r="H386" s="7" t="str">
        <f t="shared" si="53"/>
        <v>092</v>
      </c>
      <c r="I386" s="7" t="str">
        <f t="shared" si="54"/>
        <v>devdi</v>
      </c>
      <c r="J386" s="6" t="str">
        <f>IFERROR(_xlfn.CONCAT(_xlfn.TEXTSPLIT(SUBSTITUTE(SUBSTITUTE(LOWER(Q386),"æ","ae"), " de ", " "),{"b. ","ss. ","s. ","ss.mi ","in ",".",","," et","sanctae ","ę","ũ"})), "")</f>
        <v>de v die infra octavam nativitatis</v>
      </c>
      <c r="K386" s="6">
        <f t="shared" si="55"/>
        <v>3</v>
      </c>
      <c r="L386" s="6" t="str">
        <f t="shared" si="56"/>
        <v>vdieinfraoctavamnativitatis</v>
      </c>
      <c r="M386" s="6"/>
      <c r="N386" s="1">
        <v>46020</v>
      </c>
      <c r="O386" s="3" t="s">
        <v>467</v>
      </c>
      <c r="Q386" s="2" t="s">
        <v>470</v>
      </c>
      <c r="R386" s="9" t="s">
        <v>811</v>
      </c>
      <c r="S386" s="2" t="s">
        <v>464</v>
      </c>
    </row>
    <row r="387" spans="1:19" ht="14.4" customHeight="1" x14ac:dyDescent="0.3">
      <c r="A387" s="7" t="str">
        <f t="shared" ref="A387:A390" si="57">IF(OR(F387="",G387="",H387="",I387=""),"",_xlfn.CONCAT(F387,".",G387,".",H387,".",I387))</f>
        <v>fix.1229.121.thobe</v>
      </c>
      <c r="B387" s="7" t="str">
        <f t="shared" si="49"/>
        <v>121</v>
      </c>
      <c r="C387" s="8" t="str">
        <f t="shared" si="50"/>
        <v>S. Thomæ Becket, episcopi et martyris</v>
      </c>
      <c r="D387" s="8" t="str">
        <f t="shared" si="50"/>
        <v>St. Thomas Becket, Bishop and Martyr</v>
      </c>
      <c r="E387" s="8" t="str">
        <f t="shared" si="51"/>
        <v>성 토마스 베케트 주교 순교자</v>
      </c>
      <c r="F387" s="7" t="s">
        <v>578</v>
      </c>
      <c r="G387" s="7" t="str">
        <f t="shared" si="52"/>
        <v>1229</v>
      </c>
      <c r="H387" s="7" t="str">
        <f t="shared" si="53"/>
        <v>121</v>
      </c>
      <c r="I387" s="7" t="str">
        <f t="shared" si="54"/>
        <v>thobe</v>
      </c>
      <c r="J387" s="6" t="str">
        <f>IFERROR(_xlfn.CONCAT(_xlfn.TEXTSPLIT(SUBSTITUTE(SUBSTITUTE(LOWER(Q387),"æ","ae"), " de ", " "),{"b. ","ss. ","s. ","ss.mi ","in ",".",","," et","sanctae ","ę","ũ"})), "")</f>
        <v>thomae becket episcopi martyris</v>
      </c>
      <c r="K387" s="6">
        <f t="shared" si="55"/>
        <v>7</v>
      </c>
      <c r="L387" s="6" t="str">
        <f t="shared" si="56"/>
        <v>becketepiscopimartyris</v>
      </c>
      <c r="M387" s="6"/>
      <c r="N387" s="1">
        <v>46020</v>
      </c>
      <c r="O387" s="3" t="s">
        <v>471</v>
      </c>
      <c r="P387" s="4" t="s">
        <v>9</v>
      </c>
      <c r="Q387" s="2" t="s">
        <v>303</v>
      </c>
      <c r="R387" s="9" t="s">
        <v>808</v>
      </c>
      <c r="S387" s="2" t="s">
        <v>429</v>
      </c>
    </row>
    <row r="388" spans="1:19" ht="14.4" customHeight="1" x14ac:dyDescent="0.3">
      <c r="A388" s="7" t="str">
        <f t="shared" si="57"/>
        <v>fix.1230.092.devid</v>
      </c>
      <c r="B388" s="7" t="str">
        <f t="shared" ref="B388:B390" si="58">IF(O388="","",TEXT(O388,"0##"))</f>
        <v>092</v>
      </c>
      <c r="C388" s="8" t="str">
        <f t="shared" ref="C388:D390" si="59">IF(Q388="","",TEXT(Q388,""))</f>
        <v>De VI die infra octavam Nativitatis</v>
      </c>
      <c r="D388" s="8" t="str">
        <f t="shared" si="59"/>
        <v>Sixth Day within the Octave of the Nativity of the Lord [Christmas]</v>
      </c>
      <c r="E388" s="8" t="str">
        <f t="shared" ref="E388:E390" si="60">IF(S388="","",TEXT(S388,""))</f>
        <v>성탄 팔일 축제 제6일</v>
      </c>
      <c r="F388" s="7" t="s">
        <v>578</v>
      </c>
      <c r="G388" s="7" t="str">
        <f t="shared" ref="G388:G390" si="61">TEXT(N388, "mmdd")</f>
        <v>1230</v>
      </c>
      <c r="H388" s="7" t="str">
        <f t="shared" ref="H388:H390" si="62">IF(ISBLANK(O388), "", TEXT(O388, "0##"))</f>
        <v>092</v>
      </c>
      <c r="I388" s="7" t="str">
        <f t="shared" ref="I388:I390" si="63">IF(J388="","",IF(K388="",LEFT(J388,5),IF(K388&lt;4,_xlfn.CONCAT(LEFT(J388,K388-1),LEFT(L388,5-K388+1)),_xlfn.CONCAT(LEFT(J388,3),LEFT(L388,2)))))</f>
        <v>devid</v>
      </c>
      <c r="J388" s="6" t="str">
        <f>IFERROR(_xlfn.CONCAT(_xlfn.TEXTSPLIT(SUBSTITUTE(SUBSTITUTE(LOWER(Q388),"æ","ae"), " de ", " "),{"b. ","ss. ","s. ","ss.mi ","in ",".",","," et","sanctae ","ę","ũ"})), "")</f>
        <v>de vi die infra octavam nativitatis</v>
      </c>
      <c r="K388" s="6">
        <f t="shared" ref="K388:K390" si="64">IFERROR(FIND(" ", J388), "")</f>
        <v>3</v>
      </c>
      <c r="L388" s="6" t="str">
        <f t="shared" ref="L388:L390" si="65">SUBSTITUTE(IFERROR(RIGHT(J388, LEN(J388)-K388), ""), " ", "")</f>
        <v>vidieinfraoctavamnativitatis</v>
      </c>
      <c r="M388" s="6"/>
      <c r="N388" s="1">
        <v>46021</v>
      </c>
      <c r="O388" s="3" t="s">
        <v>467</v>
      </c>
      <c r="Q388" s="2" t="s">
        <v>468</v>
      </c>
      <c r="R388" s="9" t="s">
        <v>812</v>
      </c>
      <c r="S388" s="2" t="s">
        <v>465</v>
      </c>
    </row>
    <row r="389" spans="1:19" ht="14.4" customHeight="1" x14ac:dyDescent="0.3">
      <c r="A389" s="7" t="str">
        <f t="shared" si="57"/>
        <v>fix.1231.092.devii</v>
      </c>
      <c r="B389" s="7" t="str">
        <f t="shared" si="58"/>
        <v>092</v>
      </c>
      <c r="C389" s="8" t="str">
        <f t="shared" si="59"/>
        <v>De VII die infra octavam Nativitatis</v>
      </c>
      <c r="D389" s="8" t="str">
        <f t="shared" si="59"/>
        <v>Seventh Day within the Octave of the Nativity of the Lord [Christmas]</v>
      </c>
      <c r="E389" s="8" t="str">
        <f t="shared" si="60"/>
        <v>성탄 팔일 축제 제7일</v>
      </c>
      <c r="F389" s="7" t="s">
        <v>578</v>
      </c>
      <c r="G389" s="7" t="str">
        <f t="shared" si="61"/>
        <v>1231</v>
      </c>
      <c r="H389" s="7" t="str">
        <f t="shared" si="62"/>
        <v>092</v>
      </c>
      <c r="I389" s="7" t="str">
        <f t="shared" si="63"/>
        <v>devii</v>
      </c>
      <c r="J389" s="6" t="str">
        <f>IFERROR(_xlfn.CONCAT(_xlfn.TEXTSPLIT(SUBSTITUTE(SUBSTITUTE(LOWER(Q389),"æ","ae"), " de ", " "),{"b. ","ss. ","s. ","ss.mi ","in ",".",","," et","sanctae ","ę","ũ"})), "")</f>
        <v>de vii die infra octavam nativitatis</v>
      </c>
      <c r="K389" s="6">
        <f t="shared" si="64"/>
        <v>3</v>
      </c>
      <c r="L389" s="6" t="str">
        <f t="shared" si="65"/>
        <v>viidieinfraoctavamnativitatis</v>
      </c>
      <c r="M389" s="6"/>
      <c r="N389" s="1">
        <v>46022</v>
      </c>
      <c r="O389" s="3" t="s">
        <v>467</v>
      </c>
      <c r="Q389" s="2" t="s">
        <v>469</v>
      </c>
      <c r="R389" s="9" t="s">
        <v>813</v>
      </c>
      <c r="S389" s="2" t="s">
        <v>466</v>
      </c>
    </row>
    <row r="390" spans="1:19" ht="14.4" customHeight="1" x14ac:dyDescent="0.3">
      <c r="A390" s="7" t="str">
        <f t="shared" si="57"/>
        <v>fix.1231.121.silip</v>
      </c>
      <c r="B390" s="7" t="str">
        <f t="shared" si="58"/>
        <v>121</v>
      </c>
      <c r="C390" s="8" t="str">
        <f t="shared" si="59"/>
        <v>S. Silvestri I, papæ</v>
      </c>
      <c r="D390" s="8" t="str">
        <f t="shared" si="59"/>
        <v>St. Sylvester I, Pope</v>
      </c>
      <c r="E390" s="8" t="str">
        <f t="shared" si="60"/>
        <v>성 실베스테르 1세 교황</v>
      </c>
      <c r="F390" s="7" t="s">
        <v>578</v>
      </c>
      <c r="G390" s="7" t="str">
        <f t="shared" si="61"/>
        <v>1231</v>
      </c>
      <c r="H390" s="7" t="str">
        <f t="shared" si="62"/>
        <v>121</v>
      </c>
      <c r="I390" s="7" t="str">
        <f t="shared" si="63"/>
        <v>silip</v>
      </c>
      <c r="J390" s="6" t="str">
        <f>IFERROR(_xlfn.CONCAT(_xlfn.TEXTSPLIT(SUBSTITUTE(SUBSTITUTE(LOWER(Q390),"æ","ae"), " de ", " "),{"b. ","ss. ","s. ","ss.mi ","in ",".",","," et","sanctae ","ę","ũ"})), "")</f>
        <v>silvestri i papae</v>
      </c>
      <c r="K390" s="6">
        <f t="shared" si="64"/>
        <v>10</v>
      </c>
      <c r="L390" s="6" t="str">
        <f t="shared" si="65"/>
        <v>ipapae</v>
      </c>
      <c r="M390" s="6"/>
      <c r="N390" s="1">
        <v>46022</v>
      </c>
      <c r="O390" s="3" t="s">
        <v>471</v>
      </c>
      <c r="P390" s="4" t="s">
        <v>9</v>
      </c>
      <c r="Q390" s="2" t="s">
        <v>304</v>
      </c>
      <c r="R390" s="9" t="s">
        <v>809</v>
      </c>
      <c r="S390" s="2" t="s">
        <v>430</v>
      </c>
    </row>
  </sheetData>
  <phoneticPr fontId="2" type="noConversion"/>
  <conditionalFormatting sqref="I2:I1048576">
    <cfRule type="duplicateValues" dxfId="0" priority="1"/>
  </conditionalFormatting>
  <dataValidations count="1">
    <dataValidation type="list" allowBlank="1" showInputMessage="1" showErrorMessage="1" sqref="P3:P389 AD3:AD31" xr:uid="{494F7E68-E1DC-4DD0-990B-05A619852C6E}">
      <formula1>"Sollemnitas, Festum, Memoria, ad libitum"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B256C-2272-4EA2-849C-B011C8531D0B}">
  <dimension ref="A1:Q389"/>
  <sheetViews>
    <sheetView zoomScaleNormal="100" workbookViewId="0">
      <selection activeCell="D12" sqref="D12"/>
    </sheetView>
  </sheetViews>
  <sheetFormatPr defaultRowHeight="14.4" customHeight="1" x14ac:dyDescent="0.3"/>
  <cols>
    <col min="2" max="2" width="12.44140625" style="3" customWidth="1"/>
    <col min="3" max="3" width="12" style="4" customWidth="1"/>
    <col min="4" max="4" width="67.44140625" style="2" customWidth="1"/>
    <col min="5" max="5" width="62.109375" style="2" customWidth="1"/>
    <col min="6" max="6" width="23.21875" customWidth="1"/>
    <col min="12" max="12" width="17.77734375" customWidth="1"/>
    <col min="13" max="13" width="12.77734375" style="3" customWidth="1"/>
    <col min="17" max="17" width="41.5546875" customWidth="1"/>
  </cols>
  <sheetData>
    <row r="1" spans="1:17" ht="14.4" customHeight="1" x14ac:dyDescent="0.3">
      <c r="A1" t="s">
        <v>0</v>
      </c>
      <c r="L1" t="s">
        <v>1</v>
      </c>
    </row>
    <row r="2" spans="1:17" ht="14.4" customHeight="1" x14ac:dyDescent="0.3">
      <c r="A2" t="s">
        <v>2</v>
      </c>
      <c r="B2" s="3" t="s">
        <v>21</v>
      </c>
      <c r="C2" s="4" t="s">
        <v>3</v>
      </c>
      <c r="D2" s="2" t="s">
        <v>4</v>
      </c>
      <c r="E2" s="2" t="s">
        <v>5</v>
      </c>
      <c r="F2" t="s">
        <v>458</v>
      </c>
      <c r="L2" t="s">
        <v>472</v>
      </c>
      <c r="M2" s="3" t="s">
        <v>21</v>
      </c>
      <c r="N2" t="s">
        <v>3</v>
      </c>
      <c r="O2" t="s">
        <v>4</v>
      </c>
      <c r="P2" t="s">
        <v>5</v>
      </c>
      <c r="Q2" t="s">
        <v>458</v>
      </c>
    </row>
    <row r="3" spans="1:17" ht="14.4" customHeight="1" x14ac:dyDescent="0.3">
      <c r="A3" s="1">
        <v>45806</v>
      </c>
      <c r="B3" s="3" t="s">
        <v>471</v>
      </c>
      <c r="C3" s="4" t="s">
        <v>9</v>
      </c>
      <c r="D3" s="2" t="s">
        <v>432</v>
      </c>
      <c r="E3" s="2" t="s">
        <v>164</v>
      </c>
      <c r="F3" t="s">
        <v>477</v>
      </c>
      <c r="L3" t="s">
        <v>482</v>
      </c>
      <c r="M3" s="3" t="s">
        <v>486</v>
      </c>
      <c r="P3" t="s">
        <v>483</v>
      </c>
      <c r="Q3" t="s">
        <v>479</v>
      </c>
    </row>
    <row r="4" spans="1:17" ht="14.4" customHeight="1" x14ac:dyDescent="0.3">
      <c r="A4" s="1">
        <v>45833</v>
      </c>
      <c r="B4" s="3" t="s">
        <v>486</v>
      </c>
      <c r="D4" t="s">
        <v>488</v>
      </c>
      <c r="E4" s="2" t="s">
        <v>478</v>
      </c>
      <c r="F4" t="s">
        <v>479</v>
      </c>
      <c r="L4" t="s">
        <v>484</v>
      </c>
      <c r="M4" s="3" t="s">
        <v>486</v>
      </c>
      <c r="P4" t="s">
        <v>485</v>
      </c>
      <c r="Q4" t="s">
        <v>479</v>
      </c>
    </row>
    <row r="5" spans="1:17" ht="14.4" customHeight="1" x14ac:dyDescent="0.3">
      <c r="A5" s="1">
        <v>45843</v>
      </c>
      <c r="B5" s="3" t="s">
        <v>486</v>
      </c>
      <c r="D5" s="2" t="s">
        <v>487</v>
      </c>
      <c r="E5" s="2" t="s">
        <v>480</v>
      </c>
      <c r="F5" t="s">
        <v>481</v>
      </c>
    </row>
    <row r="6" spans="1:17" ht="14.4" customHeight="1" x14ac:dyDescent="0.3">
      <c r="A6" s="1">
        <v>45920</v>
      </c>
      <c r="B6" s="3" t="s">
        <v>459</v>
      </c>
      <c r="C6" s="4" t="s">
        <v>7</v>
      </c>
      <c r="D6" s="2" t="s">
        <v>285</v>
      </c>
      <c r="E6" s="2" t="s">
        <v>362</v>
      </c>
      <c r="F6" t="s">
        <v>475</v>
      </c>
    </row>
    <row r="7" spans="1:17" ht="14.4" customHeight="1" x14ac:dyDescent="0.3">
      <c r="A7" s="1">
        <v>45999</v>
      </c>
      <c r="B7" s="3" t="s">
        <v>459</v>
      </c>
      <c r="C7" s="4" t="s">
        <v>7</v>
      </c>
      <c r="D7" s="2" t="s">
        <v>293</v>
      </c>
      <c r="E7" s="2" t="s">
        <v>418</v>
      </c>
      <c r="F7" t="s">
        <v>476</v>
      </c>
    </row>
    <row r="8" spans="1:17" ht="14.4" customHeight="1" x14ac:dyDescent="0.3">
      <c r="A8" s="1"/>
    </row>
    <row r="9" spans="1:17" ht="14.4" customHeight="1" x14ac:dyDescent="0.3">
      <c r="A9" s="1"/>
    </row>
    <row r="10" spans="1:17" ht="14.4" customHeight="1" x14ac:dyDescent="0.3">
      <c r="A10" s="1"/>
    </row>
    <row r="11" spans="1:17" ht="14.4" customHeight="1" x14ac:dyDescent="0.3">
      <c r="A11" s="1"/>
    </row>
    <row r="12" spans="1:17" ht="14.4" customHeight="1" x14ac:dyDescent="0.3">
      <c r="A12" s="1"/>
    </row>
    <row r="13" spans="1:17" ht="14.4" customHeight="1" x14ac:dyDescent="0.3">
      <c r="A13" s="1"/>
    </row>
    <row r="14" spans="1:17" ht="14.4" customHeight="1" x14ac:dyDescent="0.3">
      <c r="A14" s="1"/>
    </row>
    <row r="15" spans="1:17" ht="14.4" customHeight="1" x14ac:dyDescent="0.3">
      <c r="A15" s="1"/>
    </row>
    <row r="16" spans="1:17" ht="14.4" customHeight="1" x14ac:dyDescent="0.3">
      <c r="A16" s="1"/>
    </row>
    <row r="17" spans="1:1" ht="14.4" customHeight="1" x14ac:dyDescent="0.3">
      <c r="A17" s="1"/>
    </row>
    <row r="18" spans="1:1" ht="14.4" customHeight="1" x14ac:dyDescent="0.3">
      <c r="A18" s="1"/>
    </row>
    <row r="19" spans="1:1" ht="14.4" customHeight="1" x14ac:dyDescent="0.3">
      <c r="A19" s="1"/>
    </row>
    <row r="20" spans="1:1" ht="14.4" customHeight="1" x14ac:dyDescent="0.3">
      <c r="A20" s="1"/>
    </row>
    <row r="21" spans="1:1" ht="14.4" customHeight="1" x14ac:dyDescent="0.3">
      <c r="A21" s="1"/>
    </row>
    <row r="22" spans="1:1" ht="14.4" customHeight="1" x14ac:dyDescent="0.3">
      <c r="A22" s="1"/>
    </row>
    <row r="23" spans="1:1" ht="14.4" customHeight="1" x14ac:dyDescent="0.3">
      <c r="A23" s="1"/>
    </row>
    <row r="24" spans="1:1" ht="14.4" customHeight="1" x14ac:dyDescent="0.3">
      <c r="A24" s="1"/>
    </row>
    <row r="25" spans="1:1" ht="14.4" customHeight="1" x14ac:dyDescent="0.3">
      <c r="A25" s="1"/>
    </row>
    <row r="26" spans="1:1" ht="14.4" customHeight="1" x14ac:dyDescent="0.3">
      <c r="A26" s="1"/>
    </row>
    <row r="27" spans="1:1" ht="14.4" customHeight="1" x14ac:dyDescent="0.3">
      <c r="A27" s="1"/>
    </row>
    <row r="28" spans="1:1" ht="14.4" customHeight="1" x14ac:dyDescent="0.3">
      <c r="A28" s="1"/>
    </row>
    <row r="29" spans="1:1" ht="14.4" customHeight="1" x14ac:dyDescent="0.3">
      <c r="A29" s="1"/>
    </row>
    <row r="30" spans="1:1" ht="14.4" customHeight="1" x14ac:dyDescent="0.3">
      <c r="A30" s="1"/>
    </row>
    <row r="31" spans="1:1" ht="14.4" customHeight="1" x14ac:dyDescent="0.3">
      <c r="A31" s="1"/>
    </row>
    <row r="32" spans="1:1" ht="14.4" customHeight="1" x14ac:dyDescent="0.3">
      <c r="A32" s="1"/>
    </row>
    <row r="33" spans="1:1" ht="14.4" customHeight="1" x14ac:dyDescent="0.3">
      <c r="A33" s="1"/>
    </row>
    <row r="34" spans="1:1" ht="14.4" customHeight="1" x14ac:dyDescent="0.3">
      <c r="A34" s="1"/>
    </row>
    <row r="35" spans="1:1" ht="14.4" customHeight="1" x14ac:dyDescent="0.3">
      <c r="A35" s="1"/>
    </row>
    <row r="36" spans="1:1" ht="14.4" customHeight="1" x14ac:dyDescent="0.3">
      <c r="A36" s="1"/>
    </row>
    <row r="37" spans="1:1" ht="14.4" customHeight="1" x14ac:dyDescent="0.3">
      <c r="A37" s="1"/>
    </row>
    <row r="38" spans="1:1" ht="14.4" customHeight="1" x14ac:dyDescent="0.3">
      <c r="A38" s="1"/>
    </row>
    <row r="39" spans="1:1" ht="14.4" customHeight="1" x14ac:dyDescent="0.3">
      <c r="A39" s="1"/>
    </row>
    <row r="40" spans="1:1" ht="14.4" customHeight="1" x14ac:dyDescent="0.3">
      <c r="A40" s="1"/>
    </row>
    <row r="41" spans="1:1" ht="14.4" customHeight="1" x14ac:dyDescent="0.3">
      <c r="A41" s="1"/>
    </row>
    <row r="42" spans="1:1" ht="14.4" customHeight="1" x14ac:dyDescent="0.3">
      <c r="A42" s="1"/>
    </row>
    <row r="43" spans="1:1" ht="14.4" customHeight="1" x14ac:dyDescent="0.3">
      <c r="A43" s="1"/>
    </row>
    <row r="44" spans="1:1" ht="14.4" customHeight="1" x14ac:dyDescent="0.3">
      <c r="A44" s="1"/>
    </row>
    <row r="45" spans="1:1" ht="14.4" customHeight="1" x14ac:dyDescent="0.3">
      <c r="A45" s="1"/>
    </row>
    <row r="46" spans="1:1" ht="14.4" customHeight="1" x14ac:dyDescent="0.3">
      <c r="A46" s="1"/>
    </row>
    <row r="47" spans="1:1" ht="14.4" customHeight="1" x14ac:dyDescent="0.3">
      <c r="A47" s="1"/>
    </row>
    <row r="48" spans="1:1" ht="14.4" customHeight="1" x14ac:dyDescent="0.3">
      <c r="A48" s="1"/>
    </row>
    <row r="49" spans="1:1" ht="14.4" customHeight="1" x14ac:dyDescent="0.3">
      <c r="A49" s="1"/>
    </row>
    <row r="50" spans="1:1" ht="14.4" customHeight="1" x14ac:dyDescent="0.3">
      <c r="A50" s="1"/>
    </row>
    <row r="51" spans="1:1" ht="14.4" customHeight="1" x14ac:dyDescent="0.3">
      <c r="A51" s="1"/>
    </row>
    <row r="52" spans="1:1" ht="14.4" customHeight="1" x14ac:dyDescent="0.3">
      <c r="A52" s="1"/>
    </row>
    <row r="53" spans="1:1" ht="14.4" customHeight="1" x14ac:dyDescent="0.3">
      <c r="A53" s="1"/>
    </row>
    <row r="54" spans="1:1" ht="14.4" customHeight="1" x14ac:dyDescent="0.3">
      <c r="A54" s="1"/>
    </row>
    <row r="55" spans="1:1" ht="14.4" customHeight="1" x14ac:dyDescent="0.3">
      <c r="A55" s="1"/>
    </row>
    <row r="56" spans="1:1" ht="14.4" customHeight="1" x14ac:dyDescent="0.3">
      <c r="A56" s="1"/>
    </row>
    <row r="57" spans="1:1" ht="14.4" customHeight="1" x14ac:dyDescent="0.3">
      <c r="A57" s="1"/>
    </row>
    <row r="58" spans="1:1" ht="14.4" customHeight="1" x14ac:dyDescent="0.3">
      <c r="A58" s="1"/>
    </row>
    <row r="59" spans="1:1" ht="14.4" customHeight="1" x14ac:dyDescent="0.3">
      <c r="A59" s="1"/>
    </row>
    <row r="60" spans="1:1" ht="14.4" customHeight="1" x14ac:dyDescent="0.3">
      <c r="A60" s="1"/>
    </row>
    <row r="61" spans="1:1" ht="14.4" customHeight="1" x14ac:dyDescent="0.3">
      <c r="A61" s="1"/>
    </row>
    <row r="62" spans="1:1" ht="14.4" customHeight="1" x14ac:dyDescent="0.3">
      <c r="A62" s="1"/>
    </row>
    <row r="63" spans="1:1" ht="14.4" customHeight="1" x14ac:dyDescent="0.3">
      <c r="A63" s="1"/>
    </row>
    <row r="64" spans="1:1" ht="14.4" customHeight="1" x14ac:dyDescent="0.3">
      <c r="A64" s="1"/>
    </row>
    <row r="65" spans="1:1" ht="14.4" customHeight="1" x14ac:dyDescent="0.3">
      <c r="A65" s="1"/>
    </row>
    <row r="66" spans="1:1" ht="14.4" customHeight="1" x14ac:dyDescent="0.3">
      <c r="A66" s="1"/>
    </row>
    <row r="67" spans="1:1" ht="14.4" customHeight="1" x14ac:dyDescent="0.3">
      <c r="A67" s="1"/>
    </row>
    <row r="68" spans="1:1" ht="14.4" customHeight="1" x14ac:dyDescent="0.3">
      <c r="A68" s="1"/>
    </row>
    <row r="69" spans="1:1" ht="14.4" customHeight="1" x14ac:dyDescent="0.3">
      <c r="A69" s="1"/>
    </row>
    <row r="70" spans="1:1" ht="14.4" customHeight="1" x14ac:dyDescent="0.3">
      <c r="A70" s="1"/>
    </row>
    <row r="71" spans="1:1" ht="14.4" customHeight="1" x14ac:dyDescent="0.3">
      <c r="A71" s="1"/>
    </row>
    <row r="72" spans="1:1" ht="14.4" customHeight="1" x14ac:dyDescent="0.3">
      <c r="A72" s="1"/>
    </row>
    <row r="73" spans="1:1" ht="14.4" customHeight="1" x14ac:dyDescent="0.3">
      <c r="A73" s="1"/>
    </row>
    <row r="74" spans="1:1" ht="14.4" customHeight="1" x14ac:dyDescent="0.3">
      <c r="A74" s="1"/>
    </row>
    <row r="75" spans="1:1" ht="14.4" customHeight="1" x14ac:dyDescent="0.3">
      <c r="A75" s="1"/>
    </row>
    <row r="76" spans="1:1" ht="14.4" customHeight="1" x14ac:dyDescent="0.3">
      <c r="A76" s="1"/>
    </row>
    <row r="77" spans="1:1" ht="14.4" customHeight="1" x14ac:dyDescent="0.3">
      <c r="A77" s="1"/>
    </row>
    <row r="78" spans="1:1" ht="14.4" customHeight="1" x14ac:dyDescent="0.3">
      <c r="A78" s="1"/>
    </row>
    <row r="79" spans="1:1" ht="14.4" customHeight="1" x14ac:dyDescent="0.3">
      <c r="A79" s="1"/>
    </row>
    <row r="80" spans="1:1" ht="14.4" customHeight="1" x14ac:dyDescent="0.3">
      <c r="A80" s="1"/>
    </row>
    <row r="81" spans="1:1" ht="14.4" customHeight="1" x14ac:dyDescent="0.3">
      <c r="A81" s="1"/>
    </row>
    <row r="82" spans="1:1" ht="14.4" customHeight="1" x14ac:dyDescent="0.3">
      <c r="A82" s="1"/>
    </row>
    <row r="83" spans="1:1" ht="14.4" customHeight="1" x14ac:dyDescent="0.3">
      <c r="A83" s="1"/>
    </row>
    <row r="84" spans="1:1" ht="14.4" customHeight="1" x14ac:dyDescent="0.3">
      <c r="A84" s="1"/>
    </row>
    <row r="85" spans="1:1" ht="14.4" customHeight="1" x14ac:dyDescent="0.3">
      <c r="A85" s="1"/>
    </row>
    <row r="86" spans="1:1" ht="14.4" customHeight="1" x14ac:dyDescent="0.3">
      <c r="A86" s="1"/>
    </row>
    <row r="87" spans="1:1" ht="14.4" customHeight="1" x14ac:dyDescent="0.3">
      <c r="A87" s="1"/>
    </row>
    <row r="88" spans="1:1" ht="14.4" customHeight="1" x14ac:dyDescent="0.3">
      <c r="A88" s="1"/>
    </row>
    <row r="89" spans="1:1" ht="14.4" customHeight="1" x14ac:dyDescent="0.3">
      <c r="A89" s="1"/>
    </row>
    <row r="90" spans="1:1" ht="14.4" customHeight="1" x14ac:dyDescent="0.3">
      <c r="A90" s="1"/>
    </row>
    <row r="91" spans="1:1" ht="14.4" customHeight="1" x14ac:dyDescent="0.3">
      <c r="A91" s="1"/>
    </row>
    <row r="92" spans="1:1" ht="14.4" customHeight="1" x14ac:dyDescent="0.3">
      <c r="A92" s="1"/>
    </row>
    <row r="93" spans="1:1" ht="14.4" customHeight="1" x14ac:dyDescent="0.3">
      <c r="A93" s="1"/>
    </row>
    <row r="94" spans="1:1" ht="14.4" customHeight="1" x14ac:dyDescent="0.3">
      <c r="A94" s="1"/>
    </row>
    <row r="95" spans="1:1" ht="14.4" customHeight="1" x14ac:dyDescent="0.3">
      <c r="A95" s="1"/>
    </row>
    <row r="96" spans="1:1" ht="14.4" customHeight="1" x14ac:dyDescent="0.3">
      <c r="A96" s="1"/>
    </row>
    <row r="97" spans="1:1" ht="14.4" customHeight="1" x14ac:dyDescent="0.3">
      <c r="A97" s="1"/>
    </row>
    <row r="98" spans="1:1" ht="14.4" customHeight="1" x14ac:dyDescent="0.3">
      <c r="A98" s="1"/>
    </row>
    <row r="99" spans="1:1" ht="14.4" customHeight="1" x14ac:dyDescent="0.3">
      <c r="A99" s="1"/>
    </row>
    <row r="100" spans="1:1" ht="14.4" customHeight="1" x14ac:dyDescent="0.3">
      <c r="A100" s="1"/>
    </row>
    <row r="101" spans="1:1" ht="14.4" customHeight="1" x14ac:dyDescent="0.3">
      <c r="A101" s="1"/>
    </row>
    <row r="102" spans="1:1" ht="14.4" customHeight="1" x14ac:dyDescent="0.3">
      <c r="A102" s="1"/>
    </row>
    <row r="103" spans="1:1" ht="14.4" customHeight="1" x14ac:dyDescent="0.3">
      <c r="A103" s="1"/>
    </row>
    <row r="104" spans="1:1" ht="14.4" customHeight="1" x14ac:dyDescent="0.3">
      <c r="A104" s="1"/>
    </row>
    <row r="105" spans="1:1" ht="14.4" customHeight="1" x14ac:dyDescent="0.3">
      <c r="A105" s="1"/>
    </row>
    <row r="106" spans="1:1" ht="14.4" customHeight="1" x14ac:dyDescent="0.3">
      <c r="A106" s="1"/>
    </row>
    <row r="107" spans="1:1" ht="14.4" customHeight="1" x14ac:dyDescent="0.3">
      <c r="A107" s="1"/>
    </row>
    <row r="108" spans="1:1" ht="14.4" customHeight="1" x14ac:dyDescent="0.3">
      <c r="A108" s="1"/>
    </row>
    <row r="109" spans="1:1" ht="14.4" customHeight="1" x14ac:dyDescent="0.3">
      <c r="A109" s="1"/>
    </row>
    <row r="110" spans="1:1" ht="14.4" customHeight="1" x14ac:dyDescent="0.3">
      <c r="A110" s="1"/>
    </row>
    <row r="111" spans="1:1" ht="14.4" customHeight="1" x14ac:dyDescent="0.3">
      <c r="A111" s="1"/>
    </row>
    <row r="112" spans="1:1" ht="14.4" customHeight="1" x14ac:dyDescent="0.3">
      <c r="A112" s="1"/>
    </row>
    <row r="113" spans="1:1" ht="14.4" customHeight="1" x14ac:dyDescent="0.3">
      <c r="A113" s="1"/>
    </row>
    <row r="114" spans="1:1" ht="14.4" customHeight="1" x14ac:dyDescent="0.3">
      <c r="A114" s="1"/>
    </row>
    <row r="115" spans="1:1" ht="14.4" customHeight="1" x14ac:dyDescent="0.3">
      <c r="A115" s="1"/>
    </row>
    <row r="116" spans="1:1" ht="14.4" customHeight="1" x14ac:dyDescent="0.3">
      <c r="A116" s="1"/>
    </row>
    <row r="117" spans="1:1" ht="14.4" customHeight="1" x14ac:dyDescent="0.3">
      <c r="A117" s="1"/>
    </row>
    <row r="118" spans="1:1" ht="14.4" customHeight="1" x14ac:dyDescent="0.3">
      <c r="A118" s="1"/>
    </row>
    <row r="119" spans="1:1" ht="14.4" customHeight="1" x14ac:dyDescent="0.3">
      <c r="A119" s="1"/>
    </row>
    <row r="120" spans="1:1" ht="14.4" customHeight="1" x14ac:dyDescent="0.3">
      <c r="A120" s="1"/>
    </row>
    <row r="121" spans="1:1" ht="14.4" customHeight="1" x14ac:dyDescent="0.3">
      <c r="A121" s="1"/>
    </row>
    <row r="122" spans="1:1" ht="14.4" customHeight="1" x14ac:dyDescent="0.3">
      <c r="A122" s="1"/>
    </row>
    <row r="123" spans="1:1" ht="14.4" customHeight="1" x14ac:dyDescent="0.3">
      <c r="A123" s="1"/>
    </row>
    <row r="124" spans="1:1" ht="14.4" customHeight="1" x14ac:dyDescent="0.3">
      <c r="A124" s="1"/>
    </row>
    <row r="125" spans="1:1" ht="14.4" customHeight="1" x14ac:dyDescent="0.3">
      <c r="A125" s="1"/>
    </row>
    <row r="126" spans="1:1" ht="14.4" customHeight="1" x14ac:dyDescent="0.3">
      <c r="A126" s="1"/>
    </row>
    <row r="127" spans="1:1" ht="14.4" customHeight="1" x14ac:dyDescent="0.3">
      <c r="A127" s="1"/>
    </row>
    <row r="128" spans="1:1" ht="14.4" customHeight="1" x14ac:dyDescent="0.3">
      <c r="A128" s="1"/>
    </row>
    <row r="129" spans="1:1" ht="14.4" customHeight="1" x14ac:dyDescent="0.3">
      <c r="A129" s="1"/>
    </row>
    <row r="130" spans="1:1" ht="14.4" customHeight="1" x14ac:dyDescent="0.3">
      <c r="A130" s="1"/>
    </row>
    <row r="131" spans="1:1" ht="14.4" customHeight="1" x14ac:dyDescent="0.3">
      <c r="A131" s="1"/>
    </row>
    <row r="132" spans="1:1" ht="14.4" customHeight="1" x14ac:dyDescent="0.3">
      <c r="A132" s="1"/>
    </row>
    <row r="133" spans="1:1" ht="14.4" customHeight="1" x14ac:dyDescent="0.3">
      <c r="A133" s="1"/>
    </row>
    <row r="134" spans="1:1" ht="14.4" customHeight="1" x14ac:dyDescent="0.3">
      <c r="A134" s="1"/>
    </row>
    <row r="135" spans="1:1" ht="14.4" customHeight="1" x14ac:dyDescent="0.3">
      <c r="A135" s="1"/>
    </row>
    <row r="136" spans="1:1" ht="14.4" customHeight="1" x14ac:dyDescent="0.3">
      <c r="A136" s="1"/>
    </row>
    <row r="137" spans="1:1" ht="14.4" customHeight="1" x14ac:dyDescent="0.3">
      <c r="A137" s="1"/>
    </row>
    <row r="138" spans="1:1" ht="14.4" customHeight="1" x14ac:dyDescent="0.3">
      <c r="A138" s="1"/>
    </row>
    <row r="139" spans="1:1" ht="14.4" customHeight="1" x14ac:dyDescent="0.3">
      <c r="A139" s="1"/>
    </row>
    <row r="140" spans="1:1" ht="14.4" customHeight="1" x14ac:dyDescent="0.3">
      <c r="A140" s="1"/>
    </row>
    <row r="141" spans="1:1" ht="14.4" customHeight="1" x14ac:dyDescent="0.3">
      <c r="A141" s="1"/>
    </row>
    <row r="142" spans="1:1" ht="14.4" customHeight="1" x14ac:dyDescent="0.3">
      <c r="A142" s="1"/>
    </row>
    <row r="143" spans="1:1" ht="14.4" customHeight="1" x14ac:dyDescent="0.3">
      <c r="A143" s="1"/>
    </row>
    <row r="144" spans="1:1" ht="14.4" customHeight="1" x14ac:dyDescent="0.3">
      <c r="A144" s="1"/>
    </row>
    <row r="145" spans="1:1" ht="14.4" customHeight="1" x14ac:dyDescent="0.3">
      <c r="A145" s="1"/>
    </row>
    <row r="146" spans="1:1" ht="14.4" customHeight="1" x14ac:dyDescent="0.3">
      <c r="A146" s="1"/>
    </row>
    <row r="147" spans="1:1" ht="14.4" customHeight="1" x14ac:dyDescent="0.3">
      <c r="A147" s="1"/>
    </row>
    <row r="148" spans="1:1" ht="14.4" customHeight="1" x14ac:dyDescent="0.3">
      <c r="A148" s="1"/>
    </row>
    <row r="149" spans="1:1" ht="14.4" customHeight="1" x14ac:dyDescent="0.3">
      <c r="A149" s="1"/>
    </row>
    <row r="150" spans="1:1" ht="14.4" customHeight="1" x14ac:dyDescent="0.3">
      <c r="A150" s="1"/>
    </row>
    <row r="151" spans="1:1" ht="14.4" customHeight="1" x14ac:dyDescent="0.3">
      <c r="A151" s="1"/>
    </row>
    <row r="152" spans="1:1" ht="14.4" customHeight="1" x14ac:dyDescent="0.3">
      <c r="A152" s="1"/>
    </row>
    <row r="153" spans="1:1" ht="14.4" customHeight="1" x14ac:dyDescent="0.3">
      <c r="A153" s="1"/>
    </row>
    <row r="154" spans="1:1" ht="14.4" customHeight="1" x14ac:dyDescent="0.3">
      <c r="A154" s="1"/>
    </row>
    <row r="155" spans="1:1" ht="14.4" customHeight="1" x14ac:dyDescent="0.3">
      <c r="A155" s="1"/>
    </row>
    <row r="156" spans="1:1" ht="14.4" customHeight="1" x14ac:dyDescent="0.3">
      <c r="A156" s="1"/>
    </row>
    <row r="157" spans="1:1" ht="14.4" customHeight="1" x14ac:dyDescent="0.3">
      <c r="A157" s="1"/>
    </row>
    <row r="158" spans="1:1" ht="14.4" customHeight="1" x14ac:dyDescent="0.3">
      <c r="A158" s="1"/>
    </row>
    <row r="159" spans="1:1" ht="14.4" customHeight="1" x14ac:dyDescent="0.3">
      <c r="A159" s="1"/>
    </row>
    <row r="160" spans="1:1" ht="14.4" customHeight="1" x14ac:dyDescent="0.3">
      <c r="A160" s="1"/>
    </row>
    <row r="161" spans="1:1" ht="14.4" customHeight="1" x14ac:dyDescent="0.3">
      <c r="A161" s="1"/>
    </row>
    <row r="162" spans="1:1" ht="14.4" customHeight="1" x14ac:dyDescent="0.3">
      <c r="A162" s="1"/>
    </row>
    <row r="163" spans="1:1" ht="14.4" customHeight="1" x14ac:dyDescent="0.3">
      <c r="A163" s="1"/>
    </row>
    <row r="164" spans="1:1" ht="14.4" customHeight="1" x14ac:dyDescent="0.3">
      <c r="A164" s="1"/>
    </row>
    <row r="165" spans="1:1" ht="14.4" customHeight="1" x14ac:dyDescent="0.3">
      <c r="A165" s="1"/>
    </row>
    <row r="166" spans="1:1" ht="14.4" customHeight="1" x14ac:dyDescent="0.3">
      <c r="A166" s="1"/>
    </row>
    <row r="167" spans="1:1" ht="14.4" customHeight="1" x14ac:dyDescent="0.3">
      <c r="A167" s="1"/>
    </row>
    <row r="168" spans="1:1" ht="14.4" customHeight="1" x14ac:dyDescent="0.3">
      <c r="A168" s="1"/>
    </row>
    <row r="169" spans="1:1" ht="14.4" customHeight="1" x14ac:dyDescent="0.3">
      <c r="A169" s="1"/>
    </row>
    <row r="170" spans="1:1" ht="14.4" customHeight="1" x14ac:dyDescent="0.3">
      <c r="A170" s="1"/>
    </row>
    <row r="171" spans="1:1" ht="14.4" customHeight="1" x14ac:dyDescent="0.3">
      <c r="A171" s="1"/>
    </row>
    <row r="172" spans="1:1" ht="14.4" customHeight="1" x14ac:dyDescent="0.3">
      <c r="A172" s="1"/>
    </row>
    <row r="173" spans="1:1" ht="14.4" customHeight="1" x14ac:dyDescent="0.3">
      <c r="A173" s="1"/>
    </row>
    <row r="174" spans="1:1" ht="14.4" customHeight="1" x14ac:dyDescent="0.3">
      <c r="A174" s="1"/>
    </row>
    <row r="175" spans="1:1" ht="14.4" customHeight="1" x14ac:dyDescent="0.3">
      <c r="A175" s="1"/>
    </row>
    <row r="176" spans="1:1" ht="14.4" customHeight="1" x14ac:dyDescent="0.3">
      <c r="A176" s="1"/>
    </row>
    <row r="177" spans="1:1" ht="14.4" customHeight="1" x14ac:dyDescent="0.3">
      <c r="A177" s="1"/>
    </row>
    <row r="178" spans="1:1" ht="14.4" customHeight="1" x14ac:dyDescent="0.3">
      <c r="A178" s="1"/>
    </row>
    <row r="179" spans="1:1" ht="14.4" customHeight="1" x14ac:dyDescent="0.3">
      <c r="A179" s="1"/>
    </row>
    <row r="180" spans="1:1" ht="14.4" customHeight="1" x14ac:dyDescent="0.3">
      <c r="A180" s="1"/>
    </row>
    <row r="181" spans="1:1" ht="14.4" customHeight="1" x14ac:dyDescent="0.3">
      <c r="A181" s="1"/>
    </row>
    <row r="182" spans="1:1" ht="14.4" customHeight="1" x14ac:dyDescent="0.3">
      <c r="A182" s="1"/>
    </row>
    <row r="183" spans="1:1" ht="14.4" customHeight="1" x14ac:dyDescent="0.3">
      <c r="A183" s="1"/>
    </row>
    <row r="184" spans="1:1" ht="14.4" customHeight="1" x14ac:dyDescent="0.3">
      <c r="A184" s="1"/>
    </row>
    <row r="185" spans="1:1" ht="14.4" customHeight="1" x14ac:dyDescent="0.3">
      <c r="A185" s="1"/>
    </row>
    <row r="186" spans="1:1" ht="14.4" customHeight="1" x14ac:dyDescent="0.3">
      <c r="A186" s="1"/>
    </row>
    <row r="187" spans="1:1" ht="14.4" customHeight="1" x14ac:dyDescent="0.3">
      <c r="A187" s="1"/>
    </row>
    <row r="188" spans="1:1" ht="14.4" customHeight="1" x14ac:dyDescent="0.3">
      <c r="A188" s="1"/>
    </row>
    <row r="189" spans="1:1" ht="14.4" customHeight="1" x14ac:dyDescent="0.3">
      <c r="A189" s="1"/>
    </row>
    <row r="190" spans="1:1" ht="14.4" customHeight="1" x14ac:dyDescent="0.3">
      <c r="A190" s="1"/>
    </row>
    <row r="191" spans="1:1" ht="14.4" customHeight="1" x14ac:dyDescent="0.3">
      <c r="A191" s="1"/>
    </row>
    <row r="192" spans="1:1" ht="14.4" customHeight="1" x14ac:dyDescent="0.3">
      <c r="A192" s="1"/>
    </row>
    <row r="193" spans="1:1" ht="14.4" customHeight="1" x14ac:dyDescent="0.3">
      <c r="A193" s="1"/>
    </row>
    <row r="194" spans="1:1" ht="14.4" customHeight="1" x14ac:dyDescent="0.3">
      <c r="A194" s="1"/>
    </row>
    <row r="195" spans="1:1" ht="14.4" customHeight="1" x14ac:dyDescent="0.3">
      <c r="A195" s="1"/>
    </row>
    <row r="196" spans="1:1" ht="14.4" customHeight="1" x14ac:dyDescent="0.3">
      <c r="A196" s="1"/>
    </row>
    <row r="197" spans="1:1" ht="14.4" customHeight="1" x14ac:dyDescent="0.3">
      <c r="A197" s="1"/>
    </row>
    <row r="198" spans="1:1" ht="14.4" customHeight="1" x14ac:dyDescent="0.3">
      <c r="A198" s="1"/>
    </row>
    <row r="199" spans="1:1" ht="14.4" customHeight="1" x14ac:dyDescent="0.3">
      <c r="A199" s="1"/>
    </row>
    <row r="200" spans="1:1" ht="14.4" customHeight="1" x14ac:dyDescent="0.3">
      <c r="A200" s="1"/>
    </row>
    <row r="201" spans="1:1" ht="14.4" customHeight="1" x14ac:dyDescent="0.3">
      <c r="A201" s="1"/>
    </row>
    <row r="202" spans="1:1" ht="14.4" customHeight="1" x14ac:dyDescent="0.3">
      <c r="A202" s="1"/>
    </row>
    <row r="203" spans="1:1" ht="14.4" customHeight="1" x14ac:dyDescent="0.3">
      <c r="A203" s="1"/>
    </row>
    <row r="204" spans="1:1" ht="14.4" customHeight="1" x14ac:dyDescent="0.3">
      <c r="A204" s="1"/>
    </row>
    <row r="205" spans="1:1" ht="14.4" customHeight="1" x14ac:dyDescent="0.3">
      <c r="A205" s="1"/>
    </row>
    <row r="206" spans="1:1" ht="14.4" customHeight="1" x14ac:dyDescent="0.3">
      <c r="A206" s="1"/>
    </row>
    <row r="207" spans="1:1" ht="14.4" customHeight="1" x14ac:dyDescent="0.3">
      <c r="A207" s="1"/>
    </row>
    <row r="208" spans="1:1" ht="14.4" customHeight="1" x14ac:dyDescent="0.3">
      <c r="A208" s="1"/>
    </row>
    <row r="209" spans="1:1" ht="14.4" customHeight="1" x14ac:dyDescent="0.3">
      <c r="A209" s="1"/>
    </row>
    <row r="210" spans="1:1" ht="14.4" customHeight="1" x14ac:dyDescent="0.3">
      <c r="A210" s="1"/>
    </row>
    <row r="211" spans="1:1" ht="14.4" customHeight="1" x14ac:dyDescent="0.3">
      <c r="A211" s="1"/>
    </row>
    <row r="212" spans="1:1" ht="14.4" customHeight="1" x14ac:dyDescent="0.3">
      <c r="A212" s="1"/>
    </row>
    <row r="213" spans="1:1" ht="14.4" customHeight="1" x14ac:dyDescent="0.3">
      <c r="A213" s="1"/>
    </row>
    <row r="214" spans="1:1" ht="14.4" customHeight="1" x14ac:dyDescent="0.3">
      <c r="A214" s="1"/>
    </row>
    <row r="215" spans="1:1" ht="14.4" customHeight="1" x14ac:dyDescent="0.3">
      <c r="A215" s="1"/>
    </row>
    <row r="216" spans="1:1" ht="14.4" customHeight="1" x14ac:dyDescent="0.3">
      <c r="A216" s="1"/>
    </row>
    <row r="217" spans="1:1" ht="14.4" customHeight="1" x14ac:dyDescent="0.3">
      <c r="A217" s="1"/>
    </row>
    <row r="218" spans="1:1" ht="14.4" customHeight="1" x14ac:dyDescent="0.3">
      <c r="A218" s="1"/>
    </row>
    <row r="219" spans="1:1" ht="14.4" customHeight="1" x14ac:dyDescent="0.3">
      <c r="A219" s="1"/>
    </row>
    <row r="220" spans="1:1" ht="14.4" customHeight="1" x14ac:dyDescent="0.3">
      <c r="A220" s="1"/>
    </row>
    <row r="221" spans="1:1" ht="14.4" customHeight="1" x14ac:dyDescent="0.3">
      <c r="A221" s="1"/>
    </row>
    <row r="222" spans="1:1" ht="14.4" customHeight="1" x14ac:dyDescent="0.3">
      <c r="A222" s="1"/>
    </row>
    <row r="223" spans="1:1" ht="14.4" customHeight="1" x14ac:dyDescent="0.3">
      <c r="A223" s="1"/>
    </row>
    <row r="224" spans="1:1" ht="14.4" customHeight="1" x14ac:dyDescent="0.3">
      <c r="A224" s="1"/>
    </row>
    <row r="225" spans="1:1" ht="14.4" customHeight="1" x14ac:dyDescent="0.3">
      <c r="A225" s="1"/>
    </row>
    <row r="226" spans="1:1" ht="14.4" customHeight="1" x14ac:dyDescent="0.3">
      <c r="A226" s="1"/>
    </row>
    <row r="227" spans="1:1" ht="14.4" customHeight="1" x14ac:dyDescent="0.3">
      <c r="A227" s="1"/>
    </row>
    <row r="228" spans="1:1" ht="14.4" customHeight="1" x14ac:dyDescent="0.3">
      <c r="A228" s="1"/>
    </row>
    <row r="229" spans="1:1" ht="14.4" customHeight="1" x14ac:dyDescent="0.3">
      <c r="A229" s="1"/>
    </row>
    <row r="230" spans="1:1" ht="14.4" customHeight="1" x14ac:dyDescent="0.3">
      <c r="A230" s="1"/>
    </row>
    <row r="231" spans="1:1" ht="14.4" customHeight="1" x14ac:dyDescent="0.3">
      <c r="A231" s="1"/>
    </row>
    <row r="232" spans="1:1" ht="14.4" customHeight="1" x14ac:dyDescent="0.3">
      <c r="A232" s="1"/>
    </row>
    <row r="233" spans="1:1" ht="14.4" customHeight="1" x14ac:dyDescent="0.3">
      <c r="A233" s="1"/>
    </row>
    <row r="234" spans="1:1" ht="14.4" customHeight="1" x14ac:dyDescent="0.3">
      <c r="A234" s="1"/>
    </row>
    <row r="235" spans="1:1" ht="14.4" customHeight="1" x14ac:dyDescent="0.3">
      <c r="A235" s="1"/>
    </row>
    <row r="236" spans="1:1" ht="14.4" customHeight="1" x14ac:dyDescent="0.3">
      <c r="A236" s="1"/>
    </row>
    <row r="237" spans="1:1" ht="14.4" customHeight="1" x14ac:dyDescent="0.3">
      <c r="A237" s="1"/>
    </row>
    <row r="238" spans="1:1" ht="14.4" customHeight="1" x14ac:dyDescent="0.3">
      <c r="A238" s="1"/>
    </row>
    <row r="239" spans="1:1" ht="14.4" customHeight="1" x14ac:dyDescent="0.3">
      <c r="A239" s="1"/>
    </row>
    <row r="240" spans="1:1" ht="14.4" customHeight="1" x14ac:dyDescent="0.3">
      <c r="A240" s="1"/>
    </row>
    <row r="241" spans="1:1" ht="14.4" customHeight="1" x14ac:dyDescent="0.3">
      <c r="A241" s="1"/>
    </row>
    <row r="242" spans="1:1" ht="14.4" customHeight="1" x14ac:dyDescent="0.3">
      <c r="A242" s="1"/>
    </row>
    <row r="243" spans="1:1" ht="14.4" customHeight="1" x14ac:dyDescent="0.3">
      <c r="A243" s="1"/>
    </row>
    <row r="244" spans="1:1" ht="14.4" customHeight="1" x14ac:dyDescent="0.3">
      <c r="A244" s="1"/>
    </row>
    <row r="245" spans="1:1" ht="14.4" customHeight="1" x14ac:dyDescent="0.3">
      <c r="A245" s="1"/>
    </row>
    <row r="246" spans="1:1" ht="14.4" customHeight="1" x14ac:dyDescent="0.3">
      <c r="A246" s="1"/>
    </row>
    <row r="247" spans="1:1" ht="14.4" customHeight="1" x14ac:dyDescent="0.3">
      <c r="A247" s="1"/>
    </row>
    <row r="248" spans="1:1" ht="14.4" customHeight="1" x14ac:dyDescent="0.3">
      <c r="A248" s="1"/>
    </row>
    <row r="249" spans="1:1" ht="14.4" customHeight="1" x14ac:dyDescent="0.3">
      <c r="A249" s="1"/>
    </row>
    <row r="250" spans="1:1" ht="14.4" customHeight="1" x14ac:dyDescent="0.3">
      <c r="A250" s="1"/>
    </row>
    <row r="251" spans="1:1" ht="14.4" customHeight="1" x14ac:dyDescent="0.3">
      <c r="A251" s="1"/>
    </row>
    <row r="252" spans="1:1" ht="14.4" customHeight="1" x14ac:dyDescent="0.3">
      <c r="A252" s="1"/>
    </row>
    <row r="253" spans="1:1" ht="14.4" customHeight="1" x14ac:dyDescent="0.3">
      <c r="A253" s="1"/>
    </row>
    <row r="254" spans="1:1" ht="14.4" customHeight="1" x14ac:dyDescent="0.3">
      <c r="A254" s="1"/>
    </row>
    <row r="255" spans="1:1" ht="14.4" customHeight="1" x14ac:dyDescent="0.3">
      <c r="A255" s="1"/>
    </row>
    <row r="256" spans="1:1" ht="14.4" customHeight="1" x14ac:dyDescent="0.3">
      <c r="A256" s="1"/>
    </row>
    <row r="257" spans="1:1" ht="14.4" customHeight="1" x14ac:dyDescent="0.3">
      <c r="A257" s="1"/>
    </row>
    <row r="258" spans="1:1" ht="14.4" customHeight="1" x14ac:dyDescent="0.3">
      <c r="A258" s="1"/>
    </row>
    <row r="259" spans="1:1" ht="14.4" customHeight="1" x14ac:dyDescent="0.3">
      <c r="A259" s="1"/>
    </row>
    <row r="260" spans="1:1" ht="14.4" customHeight="1" x14ac:dyDescent="0.3">
      <c r="A260" s="1"/>
    </row>
    <row r="261" spans="1:1" ht="14.4" customHeight="1" x14ac:dyDescent="0.3">
      <c r="A261" s="1"/>
    </row>
    <row r="262" spans="1:1" ht="14.4" customHeight="1" x14ac:dyDescent="0.3">
      <c r="A262" s="1"/>
    </row>
    <row r="263" spans="1:1" ht="14.4" customHeight="1" x14ac:dyDescent="0.3">
      <c r="A263" s="1"/>
    </row>
    <row r="264" spans="1:1" ht="14.4" customHeight="1" x14ac:dyDescent="0.3">
      <c r="A264" s="1"/>
    </row>
    <row r="265" spans="1:1" ht="14.4" customHeight="1" x14ac:dyDescent="0.3">
      <c r="A265" s="1"/>
    </row>
    <row r="266" spans="1:1" ht="14.4" customHeight="1" x14ac:dyDescent="0.3">
      <c r="A266" s="1"/>
    </row>
    <row r="267" spans="1:1" ht="14.4" customHeight="1" x14ac:dyDescent="0.3">
      <c r="A267" s="1"/>
    </row>
    <row r="268" spans="1:1" ht="14.4" customHeight="1" x14ac:dyDescent="0.3">
      <c r="A268" s="1"/>
    </row>
    <row r="269" spans="1:1" ht="14.4" customHeight="1" x14ac:dyDescent="0.3">
      <c r="A269" s="1"/>
    </row>
    <row r="270" spans="1:1" ht="14.4" customHeight="1" x14ac:dyDescent="0.3">
      <c r="A270" s="1"/>
    </row>
    <row r="271" spans="1:1" ht="14.4" customHeight="1" x14ac:dyDescent="0.3">
      <c r="A271" s="1"/>
    </row>
    <row r="272" spans="1:1" ht="14.4" customHeight="1" x14ac:dyDescent="0.3">
      <c r="A272" s="1"/>
    </row>
    <row r="273" spans="1:1" ht="14.4" customHeight="1" x14ac:dyDescent="0.3">
      <c r="A273" s="1"/>
    </row>
    <row r="274" spans="1:1" ht="14.4" customHeight="1" x14ac:dyDescent="0.3">
      <c r="A274" s="1"/>
    </row>
    <row r="275" spans="1:1" ht="14.4" customHeight="1" x14ac:dyDescent="0.3">
      <c r="A275" s="1"/>
    </row>
    <row r="276" spans="1:1" ht="14.4" customHeight="1" x14ac:dyDescent="0.3">
      <c r="A276" s="1"/>
    </row>
    <row r="277" spans="1:1" ht="14.4" customHeight="1" x14ac:dyDescent="0.3">
      <c r="A277" s="1"/>
    </row>
    <row r="278" spans="1:1" ht="14.4" customHeight="1" x14ac:dyDescent="0.3">
      <c r="A278" s="1"/>
    </row>
    <row r="279" spans="1:1" ht="14.4" customHeight="1" x14ac:dyDescent="0.3">
      <c r="A279" s="1"/>
    </row>
    <row r="280" spans="1:1" ht="14.4" customHeight="1" x14ac:dyDescent="0.3">
      <c r="A280" s="1"/>
    </row>
    <row r="281" spans="1:1" ht="14.4" customHeight="1" x14ac:dyDescent="0.3">
      <c r="A281" s="1"/>
    </row>
    <row r="282" spans="1:1" ht="14.4" customHeight="1" x14ac:dyDescent="0.3">
      <c r="A282" s="1"/>
    </row>
    <row r="283" spans="1:1" ht="14.4" customHeight="1" x14ac:dyDescent="0.3">
      <c r="A283" s="1"/>
    </row>
    <row r="284" spans="1:1" ht="14.4" customHeight="1" x14ac:dyDescent="0.3">
      <c r="A284" s="1"/>
    </row>
    <row r="285" spans="1:1" ht="14.4" customHeight="1" x14ac:dyDescent="0.3">
      <c r="A285" s="1"/>
    </row>
    <row r="286" spans="1:1" ht="14.4" customHeight="1" x14ac:dyDescent="0.3">
      <c r="A286" s="1"/>
    </row>
    <row r="287" spans="1:1" ht="14.4" customHeight="1" x14ac:dyDescent="0.3">
      <c r="A287" s="1"/>
    </row>
    <row r="288" spans="1:1" ht="14.4" customHeight="1" x14ac:dyDescent="0.3">
      <c r="A288" s="1"/>
    </row>
    <row r="289" spans="1:1" ht="14.4" customHeight="1" x14ac:dyDescent="0.3">
      <c r="A289" s="1"/>
    </row>
    <row r="290" spans="1:1" ht="14.4" customHeight="1" x14ac:dyDescent="0.3">
      <c r="A290" s="1"/>
    </row>
    <row r="291" spans="1:1" ht="14.4" customHeight="1" x14ac:dyDescent="0.3">
      <c r="A291" s="1"/>
    </row>
    <row r="292" spans="1:1" ht="14.4" customHeight="1" x14ac:dyDescent="0.3">
      <c r="A292" s="1"/>
    </row>
    <row r="293" spans="1:1" ht="14.4" customHeight="1" x14ac:dyDescent="0.3">
      <c r="A293" s="1"/>
    </row>
    <row r="294" spans="1:1" ht="14.4" customHeight="1" x14ac:dyDescent="0.3">
      <c r="A294" s="1"/>
    </row>
    <row r="295" spans="1:1" ht="14.4" customHeight="1" x14ac:dyDescent="0.3">
      <c r="A295" s="1"/>
    </row>
    <row r="296" spans="1:1" ht="14.4" customHeight="1" x14ac:dyDescent="0.3">
      <c r="A296" s="1"/>
    </row>
    <row r="297" spans="1:1" ht="14.4" customHeight="1" x14ac:dyDescent="0.3">
      <c r="A297" s="1"/>
    </row>
    <row r="298" spans="1:1" ht="14.4" customHeight="1" x14ac:dyDescent="0.3">
      <c r="A298" s="1"/>
    </row>
    <row r="299" spans="1:1" ht="14.4" customHeight="1" x14ac:dyDescent="0.3">
      <c r="A299" s="1"/>
    </row>
    <row r="300" spans="1:1" ht="14.4" customHeight="1" x14ac:dyDescent="0.3">
      <c r="A300" s="1"/>
    </row>
    <row r="301" spans="1:1" ht="14.4" customHeight="1" x14ac:dyDescent="0.3">
      <c r="A301" s="1"/>
    </row>
    <row r="302" spans="1:1" ht="14.4" customHeight="1" x14ac:dyDescent="0.3">
      <c r="A302" s="1"/>
    </row>
    <row r="303" spans="1:1" ht="14.4" customHeight="1" x14ac:dyDescent="0.3">
      <c r="A303" s="1"/>
    </row>
    <row r="304" spans="1:1" ht="14.4" customHeight="1" x14ac:dyDescent="0.3">
      <c r="A304" s="1"/>
    </row>
    <row r="305" spans="1:1" ht="14.4" customHeight="1" x14ac:dyDescent="0.3">
      <c r="A305" s="1"/>
    </row>
    <row r="306" spans="1:1" ht="14.4" customHeight="1" x14ac:dyDescent="0.3">
      <c r="A306" s="1"/>
    </row>
    <row r="307" spans="1:1" ht="14.4" customHeight="1" x14ac:dyDescent="0.3">
      <c r="A307" s="1"/>
    </row>
    <row r="308" spans="1:1" ht="14.4" customHeight="1" x14ac:dyDescent="0.3">
      <c r="A308" s="1"/>
    </row>
    <row r="309" spans="1:1" ht="14.4" customHeight="1" x14ac:dyDescent="0.3">
      <c r="A309" s="1"/>
    </row>
    <row r="310" spans="1:1" ht="14.4" customHeight="1" x14ac:dyDescent="0.3">
      <c r="A310" s="1"/>
    </row>
    <row r="311" spans="1:1" ht="14.4" customHeight="1" x14ac:dyDescent="0.3">
      <c r="A311" s="1"/>
    </row>
    <row r="312" spans="1:1" ht="14.4" customHeight="1" x14ac:dyDescent="0.3">
      <c r="A312" s="1"/>
    </row>
    <row r="313" spans="1:1" ht="14.4" customHeight="1" x14ac:dyDescent="0.3">
      <c r="A313" s="1"/>
    </row>
    <row r="314" spans="1:1" ht="14.4" customHeight="1" x14ac:dyDescent="0.3">
      <c r="A314" s="1"/>
    </row>
    <row r="315" spans="1:1" ht="14.4" customHeight="1" x14ac:dyDescent="0.3">
      <c r="A315" s="1"/>
    </row>
    <row r="316" spans="1:1" ht="14.4" customHeight="1" x14ac:dyDescent="0.3">
      <c r="A316" s="1"/>
    </row>
    <row r="317" spans="1:1" ht="14.4" customHeight="1" x14ac:dyDescent="0.3">
      <c r="A317" s="1"/>
    </row>
    <row r="318" spans="1:1" ht="14.4" customHeight="1" x14ac:dyDescent="0.3">
      <c r="A318" s="1"/>
    </row>
    <row r="319" spans="1:1" ht="14.4" customHeight="1" x14ac:dyDescent="0.3">
      <c r="A319" s="1"/>
    </row>
    <row r="320" spans="1:1" ht="14.4" customHeight="1" x14ac:dyDescent="0.3">
      <c r="A320" s="1"/>
    </row>
    <row r="321" spans="1:1" ht="14.4" customHeight="1" x14ac:dyDescent="0.3">
      <c r="A321" s="1"/>
    </row>
    <row r="322" spans="1:1" ht="14.4" customHeight="1" x14ac:dyDescent="0.3">
      <c r="A322" s="1"/>
    </row>
    <row r="323" spans="1:1" ht="14.4" customHeight="1" x14ac:dyDescent="0.3">
      <c r="A323" s="1"/>
    </row>
    <row r="324" spans="1:1" ht="14.4" customHeight="1" x14ac:dyDescent="0.3">
      <c r="A324" s="1"/>
    </row>
    <row r="325" spans="1:1" ht="14.4" customHeight="1" x14ac:dyDescent="0.3">
      <c r="A325" s="1"/>
    </row>
    <row r="326" spans="1:1" ht="14.4" customHeight="1" x14ac:dyDescent="0.3">
      <c r="A326" s="1"/>
    </row>
    <row r="327" spans="1:1" ht="14.4" customHeight="1" x14ac:dyDescent="0.3">
      <c r="A327" s="1"/>
    </row>
    <row r="328" spans="1:1" ht="14.4" customHeight="1" x14ac:dyDescent="0.3">
      <c r="A328" s="1"/>
    </row>
    <row r="329" spans="1:1" ht="14.4" customHeight="1" x14ac:dyDescent="0.3">
      <c r="A329" s="1"/>
    </row>
    <row r="330" spans="1:1" ht="14.4" customHeight="1" x14ac:dyDescent="0.3">
      <c r="A330" s="1"/>
    </row>
    <row r="331" spans="1:1" ht="14.4" customHeight="1" x14ac:dyDescent="0.3">
      <c r="A331" s="1"/>
    </row>
    <row r="332" spans="1:1" ht="14.4" customHeight="1" x14ac:dyDescent="0.3">
      <c r="A332" s="1"/>
    </row>
    <row r="333" spans="1:1" ht="14.4" customHeight="1" x14ac:dyDescent="0.3">
      <c r="A333" s="1"/>
    </row>
    <row r="334" spans="1:1" ht="14.4" customHeight="1" x14ac:dyDescent="0.3">
      <c r="A334" s="1"/>
    </row>
    <row r="335" spans="1:1" ht="14.4" customHeight="1" x14ac:dyDescent="0.3">
      <c r="A335" s="1"/>
    </row>
    <row r="336" spans="1:1" ht="14.4" customHeight="1" x14ac:dyDescent="0.3">
      <c r="A336" s="1"/>
    </row>
    <row r="337" spans="1:1" ht="14.4" customHeight="1" x14ac:dyDescent="0.3">
      <c r="A337" s="1"/>
    </row>
    <row r="338" spans="1:1" ht="14.4" customHeight="1" x14ac:dyDescent="0.3">
      <c r="A338" s="1"/>
    </row>
    <row r="339" spans="1:1" ht="14.4" customHeight="1" x14ac:dyDescent="0.3">
      <c r="A339" s="1"/>
    </row>
    <row r="340" spans="1:1" ht="14.4" customHeight="1" x14ac:dyDescent="0.3">
      <c r="A340" s="1"/>
    </row>
    <row r="341" spans="1:1" ht="14.4" customHeight="1" x14ac:dyDescent="0.3">
      <c r="A341" s="1"/>
    </row>
    <row r="342" spans="1:1" ht="14.4" customHeight="1" x14ac:dyDescent="0.3">
      <c r="A342" s="1"/>
    </row>
    <row r="343" spans="1:1" ht="14.4" customHeight="1" x14ac:dyDescent="0.3">
      <c r="A343" s="1"/>
    </row>
    <row r="344" spans="1:1" ht="14.4" customHeight="1" x14ac:dyDescent="0.3">
      <c r="A344" s="1"/>
    </row>
    <row r="345" spans="1:1" ht="14.4" customHeight="1" x14ac:dyDescent="0.3">
      <c r="A345" s="1"/>
    </row>
    <row r="346" spans="1:1" ht="14.4" customHeight="1" x14ac:dyDescent="0.3">
      <c r="A346" s="1"/>
    </row>
    <row r="347" spans="1:1" ht="14.4" customHeight="1" x14ac:dyDescent="0.3">
      <c r="A347" s="1"/>
    </row>
    <row r="348" spans="1:1" ht="14.4" customHeight="1" x14ac:dyDescent="0.3">
      <c r="A348" s="1"/>
    </row>
    <row r="349" spans="1:1" ht="14.4" customHeight="1" x14ac:dyDescent="0.3">
      <c r="A349" s="1"/>
    </row>
    <row r="350" spans="1:1" ht="14.4" customHeight="1" x14ac:dyDescent="0.3">
      <c r="A350" s="1"/>
    </row>
    <row r="351" spans="1:1" ht="14.4" customHeight="1" x14ac:dyDescent="0.3">
      <c r="A351" s="1"/>
    </row>
    <row r="352" spans="1:1" ht="14.4" customHeight="1" x14ac:dyDescent="0.3">
      <c r="A352" s="1"/>
    </row>
    <row r="353" spans="1:1" ht="14.4" customHeight="1" x14ac:dyDescent="0.3">
      <c r="A353" s="1"/>
    </row>
    <row r="354" spans="1:1" ht="14.4" customHeight="1" x14ac:dyDescent="0.3">
      <c r="A354" s="1"/>
    </row>
    <row r="355" spans="1:1" ht="14.4" customHeight="1" x14ac:dyDescent="0.3">
      <c r="A355" s="1"/>
    </row>
    <row r="356" spans="1:1" ht="14.4" customHeight="1" x14ac:dyDescent="0.3">
      <c r="A356" s="1"/>
    </row>
    <row r="357" spans="1:1" ht="14.4" customHeight="1" x14ac:dyDescent="0.3">
      <c r="A357" s="1"/>
    </row>
    <row r="358" spans="1:1" ht="14.4" customHeight="1" x14ac:dyDescent="0.3">
      <c r="A358" s="1"/>
    </row>
    <row r="359" spans="1:1" ht="14.4" customHeight="1" x14ac:dyDescent="0.3">
      <c r="A359" s="1"/>
    </row>
    <row r="360" spans="1:1" ht="14.4" customHeight="1" x14ac:dyDescent="0.3">
      <c r="A360" s="1"/>
    </row>
    <row r="361" spans="1:1" ht="14.4" customHeight="1" x14ac:dyDescent="0.3">
      <c r="A361" s="1"/>
    </row>
    <row r="362" spans="1:1" ht="14.4" customHeight="1" x14ac:dyDescent="0.3">
      <c r="A362" s="1"/>
    </row>
    <row r="363" spans="1:1" ht="14.4" customHeight="1" x14ac:dyDescent="0.3">
      <c r="A363" s="1"/>
    </row>
    <row r="364" spans="1:1" ht="14.4" customHeight="1" x14ac:dyDescent="0.3">
      <c r="A364" s="1"/>
    </row>
    <row r="365" spans="1:1" ht="14.4" customHeight="1" x14ac:dyDescent="0.3">
      <c r="A365" s="1"/>
    </row>
    <row r="366" spans="1:1" ht="14.4" customHeight="1" x14ac:dyDescent="0.3">
      <c r="A366" s="1"/>
    </row>
    <row r="367" spans="1:1" ht="14.4" customHeight="1" x14ac:dyDescent="0.3">
      <c r="A367" s="1"/>
    </row>
    <row r="368" spans="1:1" ht="14.4" customHeight="1" x14ac:dyDescent="0.3">
      <c r="A368" s="1"/>
    </row>
    <row r="369" spans="1:1" ht="14.4" customHeight="1" x14ac:dyDescent="0.3">
      <c r="A369" s="1"/>
    </row>
    <row r="370" spans="1:1" ht="14.4" customHeight="1" x14ac:dyDescent="0.3">
      <c r="A370" s="1"/>
    </row>
    <row r="371" spans="1:1" ht="14.4" customHeight="1" x14ac:dyDescent="0.3">
      <c r="A371" s="1"/>
    </row>
    <row r="372" spans="1:1" ht="14.4" customHeight="1" x14ac:dyDescent="0.3">
      <c r="A372" s="1"/>
    </row>
    <row r="373" spans="1:1" ht="14.4" customHeight="1" x14ac:dyDescent="0.3">
      <c r="A373" s="1"/>
    </row>
    <row r="374" spans="1:1" ht="14.4" customHeight="1" x14ac:dyDescent="0.3">
      <c r="A374" s="1"/>
    </row>
    <row r="375" spans="1:1" ht="14.4" customHeight="1" x14ac:dyDescent="0.3">
      <c r="A375" s="1"/>
    </row>
    <row r="376" spans="1:1" ht="14.4" customHeight="1" x14ac:dyDescent="0.3">
      <c r="A376" s="1"/>
    </row>
    <row r="377" spans="1:1" ht="14.4" customHeight="1" x14ac:dyDescent="0.3">
      <c r="A377" s="1"/>
    </row>
    <row r="378" spans="1:1" ht="14.4" customHeight="1" x14ac:dyDescent="0.3">
      <c r="A378" s="1"/>
    </row>
    <row r="379" spans="1:1" ht="14.4" customHeight="1" x14ac:dyDescent="0.3">
      <c r="A379" s="1"/>
    </row>
    <row r="380" spans="1:1" ht="14.4" customHeight="1" x14ac:dyDescent="0.3">
      <c r="A380" s="1"/>
    </row>
    <row r="381" spans="1:1" ht="14.4" customHeight="1" x14ac:dyDescent="0.3">
      <c r="A381" s="1"/>
    </row>
    <row r="382" spans="1:1" ht="14.4" customHeight="1" x14ac:dyDescent="0.3">
      <c r="A382" s="1"/>
    </row>
    <row r="383" spans="1:1" ht="14.4" customHeight="1" x14ac:dyDescent="0.3">
      <c r="A383" s="1"/>
    </row>
    <row r="384" spans="1:1" ht="14.4" customHeight="1" x14ac:dyDescent="0.3">
      <c r="A384" s="1"/>
    </row>
    <row r="385" spans="1:1" ht="14.4" customHeight="1" x14ac:dyDescent="0.3">
      <c r="A385" s="1"/>
    </row>
    <row r="386" spans="1:1" ht="14.4" customHeight="1" x14ac:dyDescent="0.3">
      <c r="A386" s="1"/>
    </row>
    <row r="387" spans="1:1" ht="14.4" customHeight="1" x14ac:dyDescent="0.3">
      <c r="A387" s="1"/>
    </row>
    <row r="388" spans="1:1" ht="14.4" customHeight="1" x14ac:dyDescent="0.3">
      <c r="A388" s="1"/>
    </row>
    <row r="389" spans="1:1" ht="14.4" customHeight="1" x14ac:dyDescent="0.3">
      <c r="A389" s="1"/>
    </row>
  </sheetData>
  <dataValidations count="1">
    <dataValidation type="list" allowBlank="1" showInputMessage="1" showErrorMessage="1" sqref="C3:C389" xr:uid="{1E635C14-08FE-4031-B15F-CDAA0FF5E939}">
      <formula1>"Sollemnitas, Festum, Memoria, ad libitum"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69A9F-B5B4-41C1-9114-17C14263C4AB}">
  <dimension ref="A1:E251"/>
  <sheetViews>
    <sheetView topLeftCell="A209" zoomScale="70" zoomScaleNormal="70" workbookViewId="0">
      <selection activeCell="C252" sqref="C252"/>
    </sheetView>
  </sheetViews>
  <sheetFormatPr defaultRowHeight="14.4" x14ac:dyDescent="0.3"/>
  <cols>
    <col min="1" max="1" width="25.109375" style="11" bestFit="1" customWidth="1"/>
    <col min="2" max="2" width="9" style="11" bestFit="1" customWidth="1"/>
    <col min="3" max="3" width="108.77734375" style="11" bestFit="1" customWidth="1"/>
    <col min="4" max="4" width="135.6640625" style="11" bestFit="1" customWidth="1"/>
    <col min="5" max="5" width="73.33203125" style="11" bestFit="1" customWidth="1"/>
    <col min="6" max="16384" width="8.88671875" style="11"/>
  </cols>
  <sheetData>
    <row r="1" spans="1:5" x14ac:dyDescent="0.3">
      <c r="A1" s="11" t="s">
        <v>890</v>
      </c>
      <c r="B1" s="11" t="s">
        <v>891</v>
      </c>
      <c r="C1" s="11" t="s">
        <v>583</v>
      </c>
      <c r="D1" s="11" t="s">
        <v>584</v>
      </c>
      <c r="E1" s="11" t="s">
        <v>585</v>
      </c>
    </row>
    <row r="2" spans="1:5" x14ac:dyDescent="0.3">
      <c r="A2" s="11" t="s">
        <v>892</v>
      </c>
      <c r="B2" s="11" t="s">
        <v>459</v>
      </c>
      <c r="C2" s="11" t="s">
        <v>587</v>
      </c>
      <c r="D2" s="11" t="s">
        <v>589</v>
      </c>
      <c r="E2" s="11" t="s">
        <v>588</v>
      </c>
    </row>
    <row r="3" spans="1:5" x14ac:dyDescent="0.3">
      <c r="A3" s="11" t="s">
        <v>893</v>
      </c>
      <c r="B3" s="11" t="s">
        <v>535</v>
      </c>
      <c r="C3" s="11" t="s">
        <v>25</v>
      </c>
      <c r="D3" s="11" t="s">
        <v>590</v>
      </c>
      <c r="E3" s="11" t="s">
        <v>94</v>
      </c>
    </row>
    <row r="4" spans="1:5" x14ac:dyDescent="0.3">
      <c r="A4" s="11" t="s">
        <v>894</v>
      </c>
      <c r="B4" s="11" t="s">
        <v>471</v>
      </c>
      <c r="C4" s="11" t="s">
        <v>6</v>
      </c>
      <c r="D4" s="11" t="s">
        <v>591</v>
      </c>
      <c r="E4" s="11" t="s">
        <v>95</v>
      </c>
    </row>
    <row r="5" spans="1:5" x14ac:dyDescent="0.3">
      <c r="A5" s="11" t="s">
        <v>895</v>
      </c>
      <c r="B5" s="11" t="s">
        <v>460</v>
      </c>
      <c r="C5" s="11" t="s">
        <v>10</v>
      </c>
      <c r="D5" s="11" t="s">
        <v>592</v>
      </c>
      <c r="E5" s="11" t="s">
        <v>96</v>
      </c>
    </row>
    <row r="6" spans="1:5" x14ac:dyDescent="0.3">
      <c r="A6" s="11" t="s">
        <v>896</v>
      </c>
      <c r="B6" s="11" t="s">
        <v>471</v>
      </c>
      <c r="C6" s="11" t="s">
        <v>11</v>
      </c>
      <c r="D6" s="11" t="s">
        <v>593</v>
      </c>
      <c r="E6" s="11" t="s">
        <v>97</v>
      </c>
    </row>
    <row r="7" spans="1:5" x14ac:dyDescent="0.3">
      <c r="A7" s="11" t="s">
        <v>897</v>
      </c>
      <c r="B7" s="11" t="s">
        <v>471</v>
      </c>
      <c r="C7" s="11" t="s">
        <v>12</v>
      </c>
      <c r="D7" s="11" t="s">
        <v>594</v>
      </c>
      <c r="E7" s="11" t="s">
        <v>98</v>
      </c>
    </row>
    <row r="8" spans="1:5" x14ac:dyDescent="0.3">
      <c r="A8" s="11" t="s">
        <v>898</v>
      </c>
      <c r="B8" s="11" t="s">
        <v>535</v>
      </c>
      <c r="C8" s="11" t="s">
        <v>13</v>
      </c>
      <c r="D8" s="11" t="s">
        <v>595</v>
      </c>
      <c r="E8" s="11" t="s">
        <v>99</v>
      </c>
    </row>
    <row r="9" spans="1:5" x14ac:dyDescent="0.3">
      <c r="A9" s="11" t="s">
        <v>899</v>
      </c>
      <c r="B9" s="11" t="s">
        <v>471</v>
      </c>
      <c r="C9" s="11" t="s">
        <v>14</v>
      </c>
      <c r="D9" s="11" t="s">
        <v>596</v>
      </c>
      <c r="E9" s="11" t="s">
        <v>100</v>
      </c>
    </row>
    <row r="10" spans="1:5" x14ac:dyDescent="0.3">
      <c r="A10" s="11" t="s">
        <v>900</v>
      </c>
      <c r="B10" s="11" t="s">
        <v>471</v>
      </c>
      <c r="C10" s="11" t="s">
        <v>15</v>
      </c>
      <c r="D10" s="11" t="s">
        <v>597</v>
      </c>
      <c r="E10" s="11" t="s">
        <v>101</v>
      </c>
    </row>
    <row r="11" spans="1:5" x14ac:dyDescent="0.3">
      <c r="A11" s="11" t="s">
        <v>901</v>
      </c>
      <c r="B11" s="11" t="s">
        <v>535</v>
      </c>
      <c r="C11" s="11" t="s">
        <v>16</v>
      </c>
      <c r="D11" s="11" t="s">
        <v>598</v>
      </c>
      <c r="E11" s="11" t="s">
        <v>102</v>
      </c>
    </row>
    <row r="12" spans="1:5" x14ac:dyDescent="0.3">
      <c r="A12" s="11" t="s">
        <v>902</v>
      </c>
      <c r="B12" s="11" t="s">
        <v>471</v>
      </c>
      <c r="C12" s="11" t="s">
        <v>17</v>
      </c>
      <c r="D12" s="11" t="s">
        <v>599</v>
      </c>
      <c r="E12" s="11" t="s">
        <v>103</v>
      </c>
    </row>
    <row r="13" spans="1:5" x14ac:dyDescent="0.3">
      <c r="A13" s="11" t="s">
        <v>903</v>
      </c>
      <c r="B13" s="11" t="s">
        <v>535</v>
      </c>
      <c r="C13" s="11" t="s">
        <v>18</v>
      </c>
      <c r="D13" s="11" t="s">
        <v>600</v>
      </c>
      <c r="E13" s="11" t="s">
        <v>104</v>
      </c>
    </row>
    <row r="14" spans="1:5" x14ac:dyDescent="0.3">
      <c r="A14" s="11" t="s">
        <v>904</v>
      </c>
      <c r="B14" s="11" t="s">
        <v>463</v>
      </c>
      <c r="C14" s="11" t="s">
        <v>19</v>
      </c>
      <c r="D14" s="11" t="s">
        <v>601</v>
      </c>
      <c r="E14" s="11" t="s">
        <v>105</v>
      </c>
    </row>
    <row r="15" spans="1:5" x14ac:dyDescent="0.3">
      <c r="A15" s="11" t="s">
        <v>905</v>
      </c>
      <c r="B15" s="11" t="s">
        <v>535</v>
      </c>
      <c r="C15" s="11" t="s">
        <v>22</v>
      </c>
      <c r="D15" s="11" t="s">
        <v>602</v>
      </c>
      <c r="E15" s="11" t="s">
        <v>106</v>
      </c>
    </row>
    <row r="16" spans="1:5" x14ac:dyDescent="0.3">
      <c r="A16" s="11" t="s">
        <v>906</v>
      </c>
      <c r="B16" s="11" t="s">
        <v>471</v>
      </c>
      <c r="C16" s="11" t="s">
        <v>23</v>
      </c>
      <c r="D16" s="11" t="s">
        <v>603</v>
      </c>
      <c r="E16" s="11" t="s">
        <v>107</v>
      </c>
    </row>
    <row r="17" spans="1:5" x14ac:dyDescent="0.3">
      <c r="A17" s="11" t="s">
        <v>907</v>
      </c>
      <c r="B17" s="11" t="s">
        <v>535</v>
      </c>
      <c r="C17" s="11" t="s">
        <v>24</v>
      </c>
      <c r="D17" s="11" t="s">
        <v>604</v>
      </c>
      <c r="E17" s="11" t="s">
        <v>108</v>
      </c>
    </row>
    <row r="18" spans="1:5" x14ac:dyDescent="0.3">
      <c r="A18" s="11" t="s">
        <v>908</v>
      </c>
      <c r="B18" s="11" t="s">
        <v>535</v>
      </c>
      <c r="C18" s="11" t="s">
        <v>26</v>
      </c>
      <c r="D18" s="11" t="s">
        <v>605</v>
      </c>
      <c r="E18" s="11" t="s">
        <v>109</v>
      </c>
    </row>
    <row r="19" spans="1:5" x14ac:dyDescent="0.3">
      <c r="A19" s="11" t="s">
        <v>909</v>
      </c>
      <c r="B19" s="11" t="s">
        <v>462</v>
      </c>
      <c r="C19" s="11" t="s">
        <v>27</v>
      </c>
      <c r="D19" s="11" t="s">
        <v>607</v>
      </c>
      <c r="E19" s="11" t="s">
        <v>110</v>
      </c>
    </row>
    <row r="20" spans="1:5" x14ac:dyDescent="0.3">
      <c r="A20" s="11" t="s">
        <v>910</v>
      </c>
      <c r="B20" s="11" t="s">
        <v>471</v>
      </c>
      <c r="C20" s="11" t="s">
        <v>28</v>
      </c>
      <c r="D20" s="11" t="s">
        <v>608</v>
      </c>
      <c r="E20" s="11" t="s">
        <v>111</v>
      </c>
    </row>
    <row r="21" spans="1:5" x14ac:dyDescent="0.3">
      <c r="A21" s="11" t="s">
        <v>911</v>
      </c>
      <c r="B21" s="11" t="s">
        <v>471</v>
      </c>
      <c r="C21" s="11" t="s">
        <v>29</v>
      </c>
      <c r="D21" s="11" t="s">
        <v>609</v>
      </c>
      <c r="E21" s="11" t="s">
        <v>112</v>
      </c>
    </row>
    <row r="22" spans="1:5" x14ac:dyDescent="0.3">
      <c r="A22" s="11" t="s">
        <v>912</v>
      </c>
      <c r="B22" s="11" t="s">
        <v>535</v>
      </c>
      <c r="C22" s="11" t="s">
        <v>30</v>
      </c>
      <c r="D22" s="11" t="s">
        <v>610</v>
      </c>
      <c r="E22" s="11" t="s">
        <v>113</v>
      </c>
    </row>
    <row r="23" spans="1:5" x14ac:dyDescent="0.3">
      <c r="A23" s="11" t="s">
        <v>913</v>
      </c>
      <c r="B23" s="11" t="s">
        <v>535</v>
      </c>
      <c r="C23" s="11" t="s">
        <v>31</v>
      </c>
      <c r="D23" s="11" t="s">
        <v>611</v>
      </c>
      <c r="E23" s="11" t="s">
        <v>114</v>
      </c>
    </row>
    <row r="24" spans="1:5" x14ac:dyDescent="0.3">
      <c r="A24" s="11" t="s">
        <v>914</v>
      </c>
      <c r="B24" s="11" t="s">
        <v>471</v>
      </c>
      <c r="C24" s="11" t="s">
        <v>32</v>
      </c>
      <c r="D24" s="11" t="s">
        <v>612</v>
      </c>
      <c r="E24" s="11" t="s">
        <v>115</v>
      </c>
    </row>
    <row r="25" spans="1:5" x14ac:dyDescent="0.3">
      <c r="A25" s="11" t="s">
        <v>915</v>
      </c>
      <c r="B25" s="11" t="s">
        <v>471</v>
      </c>
      <c r="C25" s="11" t="s">
        <v>33</v>
      </c>
      <c r="D25" s="11" t="s">
        <v>613</v>
      </c>
      <c r="E25" s="11" t="s">
        <v>116</v>
      </c>
    </row>
    <row r="26" spans="1:5" x14ac:dyDescent="0.3">
      <c r="A26" s="11" t="s">
        <v>916</v>
      </c>
      <c r="B26" s="11" t="s">
        <v>535</v>
      </c>
      <c r="C26" s="11" t="s">
        <v>34</v>
      </c>
      <c r="D26" s="11" t="s">
        <v>614</v>
      </c>
      <c r="E26" s="11" t="s">
        <v>117</v>
      </c>
    </row>
    <row r="27" spans="1:5" x14ac:dyDescent="0.3">
      <c r="A27" s="11" t="s">
        <v>917</v>
      </c>
      <c r="B27" s="11" t="s">
        <v>471</v>
      </c>
      <c r="C27" s="11" t="s">
        <v>35</v>
      </c>
      <c r="D27" s="11" t="s">
        <v>615</v>
      </c>
      <c r="E27" s="11" t="s">
        <v>118</v>
      </c>
    </row>
    <row r="28" spans="1:5" x14ac:dyDescent="0.3">
      <c r="A28" s="11" t="s">
        <v>918</v>
      </c>
      <c r="B28" s="11" t="s">
        <v>535</v>
      </c>
      <c r="C28" s="11" t="s">
        <v>36</v>
      </c>
      <c r="D28" s="11" t="s">
        <v>616</v>
      </c>
      <c r="E28" s="11" t="s">
        <v>119</v>
      </c>
    </row>
    <row r="29" spans="1:5" x14ac:dyDescent="0.3">
      <c r="A29" s="11" t="s">
        <v>919</v>
      </c>
      <c r="B29" s="11" t="s">
        <v>471</v>
      </c>
      <c r="C29" s="11" t="s">
        <v>37</v>
      </c>
      <c r="D29" s="11" t="s">
        <v>617</v>
      </c>
      <c r="E29" s="11" t="s">
        <v>120</v>
      </c>
    </row>
    <row r="30" spans="1:5" x14ac:dyDescent="0.3">
      <c r="A30" s="11" t="s">
        <v>920</v>
      </c>
      <c r="B30" s="11" t="s">
        <v>471</v>
      </c>
      <c r="C30" s="11" t="s">
        <v>38</v>
      </c>
      <c r="D30" s="11" t="s">
        <v>618</v>
      </c>
      <c r="E30" s="11" t="s">
        <v>121</v>
      </c>
    </row>
    <row r="31" spans="1:5" x14ac:dyDescent="0.3">
      <c r="A31" s="11" t="s">
        <v>921</v>
      </c>
      <c r="B31" s="11" t="s">
        <v>463</v>
      </c>
      <c r="C31" s="11" t="s">
        <v>39</v>
      </c>
      <c r="D31" s="11" t="s">
        <v>619</v>
      </c>
      <c r="E31" s="11" t="s">
        <v>122</v>
      </c>
    </row>
    <row r="32" spans="1:5" x14ac:dyDescent="0.3">
      <c r="A32" s="11" t="s">
        <v>922</v>
      </c>
      <c r="B32" s="11" t="s">
        <v>535</v>
      </c>
      <c r="C32" s="11" t="s">
        <v>40</v>
      </c>
      <c r="D32" s="11" t="s">
        <v>620</v>
      </c>
      <c r="E32" s="11" t="s">
        <v>123</v>
      </c>
    </row>
    <row r="33" spans="1:5" x14ac:dyDescent="0.3">
      <c r="A33" s="11" t="s">
        <v>923</v>
      </c>
      <c r="B33" s="11" t="s">
        <v>471</v>
      </c>
      <c r="C33" s="11" t="s">
        <v>433</v>
      </c>
      <c r="D33" s="11" t="s">
        <v>1140</v>
      </c>
      <c r="E33" s="11" t="s">
        <v>451</v>
      </c>
    </row>
    <row r="34" spans="1:5" x14ac:dyDescent="0.3">
      <c r="A34" s="11" t="s">
        <v>924</v>
      </c>
      <c r="B34" s="11" t="s">
        <v>471</v>
      </c>
      <c r="C34" s="11" t="s">
        <v>41</v>
      </c>
      <c r="D34" s="11" t="s">
        <v>621</v>
      </c>
      <c r="E34" s="11" t="s">
        <v>124</v>
      </c>
    </row>
    <row r="35" spans="1:5" x14ac:dyDescent="0.3">
      <c r="A35" s="11" t="s">
        <v>925</v>
      </c>
      <c r="B35" s="11" t="s">
        <v>535</v>
      </c>
      <c r="C35" s="11" t="s">
        <v>42</v>
      </c>
      <c r="D35" s="11" t="s">
        <v>622</v>
      </c>
      <c r="E35" s="11" t="s">
        <v>125</v>
      </c>
    </row>
    <row r="36" spans="1:5" x14ac:dyDescent="0.3">
      <c r="A36" s="11" t="s">
        <v>926</v>
      </c>
      <c r="B36" s="11" t="s">
        <v>471</v>
      </c>
      <c r="C36" s="11" t="s">
        <v>43</v>
      </c>
      <c r="D36" s="11" t="s">
        <v>623</v>
      </c>
      <c r="E36" s="11" t="s">
        <v>126</v>
      </c>
    </row>
    <row r="37" spans="1:5" x14ac:dyDescent="0.3">
      <c r="A37" s="11" t="s">
        <v>927</v>
      </c>
      <c r="B37" s="11" t="s">
        <v>471</v>
      </c>
      <c r="C37" s="11" t="s">
        <v>44</v>
      </c>
      <c r="D37" s="11" t="s">
        <v>624</v>
      </c>
      <c r="E37" s="11" t="s">
        <v>127</v>
      </c>
    </row>
    <row r="38" spans="1:5" x14ac:dyDescent="0.3">
      <c r="A38" s="11" t="s">
        <v>928</v>
      </c>
      <c r="B38" s="11" t="s">
        <v>471</v>
      </c>
      <c r="C38" s="11" t="s">
        <v>45</v>
      </c>
      <c r="D38" s="11" t="s">
        <v>625</v>
      </c>
      <c r="E38" s="11" t="s">
        <v>128</v>
      </c>
    </row>
    <row r="39" spans="1:5" x14ac:dyDescent="0.3">
      <c r="A39" s="11" t="s">
        <v>929</v>
      </c>
      <c r="B39" s="11" t="s">
        <v>471</v>
      </c>
      <c r="C39" s="11" t="s">
        <v>46</v>
      </c>
      <c r="D39" s="11" t="s">
        <v>626</v>
      </c>
      <c r="E39" s="11" t="s">
        <v>129</v>
      </c>
    </row>
    <row r="40" spans="1:5" x14ac:dyDescent="0.3">
      <c r="A40" s="11" t="s">
        <v>930</v>
      </c>
      <c r="B40" s="11" t="s">
        <v>459</v>
      </c>
      <c r="C40" s="11" t="s">
        <v>47</v>
      </c>
      <c r="D40" s="11" t="s">
        <v>627</v>
      </c>
      <c r="E40" s="11" t="s">
        <v>130</v>
      </c>
    </row>
    <row r="41" spans="1:5" x14ac:dyDescent="0.3">
      <c r="A41" s="11" t="s">
        <v>931</v>
      </c>
      <c r="B41" s="11" t="s">
        <v>471</v>
      </c>
      <c r="C41" s="11" t="s">
        <v>48</v>
      </c>
      <c r="D41" s="11" t="s">
        <v>628</v>
      </c>
      <c r="E41" s="11" t="s">
        <v>131</v>
      </c>
    </row>
    <row r="42" spans="1:5" x14ac:dyDescent="0.3">
      <c r="A42" s="11" t="s">
        <v>932</v>
      </c>
      <c r="B42" s="11" t="s">
        <v>459</v>
      </c>
      <c r="C42" s="11" t="s">
        <v>49</v>
      </c>
      <c r="D42" s="11" t="s">
        <v>629</v>
      </c>
      <c r="E42" s="11" t="s">
        <v>132</v>
      </c>
    </row>
    <row r="43" spans="1:5" x14ac:dyDescent="0.3">
      <c r="A43" s="11" t="s">
        <v>933</v>
      </c>
      <c r="B43" s="11" t="s">
        <v>471</v>
      </c>
      <c r="C43" s="11" t="s">
        <v>50</v>
      </c>
      <c r="D43" s="11" t="s">
        <v>630</v>
      </c>
      <c r="E43" s="11" t="s">
        <v>133</v>
      </c>
    </row>
    <row r="44" spans="1:5" x14ac:dyDescent="0.3">
      <c r="A44" s="11" t="s">
        <v>934</v>
      </c>
      <c r="B44" s="11" t="s">
        <v>471</v>
      </c>
      <c r="C44" s="11" t="s">
        <v>51</v>
      </c>
      <c r="D44" s="11" t="s">
        <v>631</v>
      </c>
      <c r="E44" s="11" t="s">
        <v>134</v>
      </c>
    </row>
    <row r="45" spans="1:5" x14ac:dyDescent="0.3">
      <c r="A45" s="11" t="s">
        <v>935</v>
      </c>
      <c r="B45" s="11" t="s">
        <v>471</v>
      </c>
      <c r="C45" s="11" t="s">
        <v>52</v>
      </c>
      <c r="D45" s="11" t="s">
        <v>632</v>
      </c>
      <c r="E45" s="11" t="s">
        <v>135</v>
      </c>
    </row>
    <row r="46" spans="1:5" x14ac:dyDescent="0.3">
      <c r="A46" s="11" t="s">
        <v>936</v>
      </c>
      <c r="B46" s="11" t="s">
        <v>535</v>
      </c>
      <c r="C46" s="11" t="s">
        <v>53</v>
      </c>
      <c r="D46" s="11" t="s">
        <v>633</v>
      </c>
      <c r="E46" s="11" t="s">
        <v>136</v>
      </c>
    </row>
    <row r="47" spans="1:5" x14ac:dyDescent="0.3">
      <c r="A47" s="11" t="s">
        <v>937</v>
      </c>
      <c r="B47" s="11" t="s">
        <v>535</v>
      </c>
      <c r="C47" s="11" t="s">
        <v>54</v>
      </c>
      <c r="D47" s="11" t="s">
        <v>634</v>
      </c>
      <c r="E47" s="11" t="s">
        <v>137</v>
      </c>
    </row>
    <row r="48" spans="1:5" x14ac:dyDescent="0.3">
      <c r="A48" s="11" t="s">
        <v>938</v>
      </c>
      <c r="B48" s="11" t="s">
        <v>471</v>
      </c>
      <c r="C48" s="11" t="s">
        <v>55</v>
      </c>
      <c r="D48" s="11" t="s">
        <v>635</v>
      </c>
      <c r="E48" s="11" t="s">
        <v>138</v>
      </c>
    </row>
    <row r="49" spans="1:5" x14ac:dyDescent="0.3">
      <c r="A49" s="11" t="s">
        <v>939</v>
      </c>
      <c r="B49" s="11" t="s">
        <v>471</v>
      </c>
      <c r="C49" s="11" t="s">
        <v>56</v>
      </c>
      <c r="D49" s="11" t="s">
        <v>636</v>
      </c>
      <c r="E49" s="11" t="s">
        <v>139</v>
      </c>
    </row>
    <row r="50" spans="1:5" x14ac:dyDescent="0.3">
      <c r="A50" s="11" t="s">
        <v>940</v>
      </c>
      <c r="B50" s="11" t="s">
        <v>471</v>
      </c>
      <c r="C50" s="11" t="s">
        <v>57</v>
      </c>
      <c r="D50" s="11" t="s">
        <v>637</v>
      </c>
      <c r="E50" s="11" t="s">
        <v>140</v>
      </c>
    </row>
    <row r="51" spans="1:5" x14ac:dyDescent="0.3">
      <c r="A51" s="11" t="s">
        <v>941</v>
      </c>
      <c r="B51" s="11" t="s">
        <v>471</v>
      </c>
      <c r="C51" s="11" t="s">
        <v>58</v>
      </c>
      <c r="D51" s="11" t="s">
        <v>638</v>
      </c>
      <c r="E51" s="11" t="s">
        <v>141</v>
      </c>
    </row>
    <row r="52" spans="1:5" x14ac:dyDescent="0.3">
      <c r="A52" s="11" t="s">
        <v>942</v>
      </c>
      <c r="B52" s="11" t="s">
        <v>471</v>
      </c>
      <c r="C52" s="11" t="s">
        <v>59</v>
      </c>
      <c r="D52" s="11" t="s">
        <v>639</v>
      </c>
      <c r="E52" s="11" t="s">
        <v>142</v>
      </c>
    </row>
    <row r="53" spans="1:5" x14ac:dyDescent="0.3">
      <c r="A53" s="11" t="s">
        <v>943</v>
      </c>
      <c r="B53" s="11" t="s">
        <v>463</v>
      </c>
      <c r="C53" s="11" t="s">
        <v>60</v>
      </c>
      <c r="D53" s="11" t="s">
        <v>640</v>
      </c>
      <c r="E53" s="11" t="s">
        <v>143</v>
      </c>
    </row>
    <row r="54" spans="1:5" x14ac:dyDescent="0.3">
      <c r="A54" s="11" t="s">
        <v>944</v>
      </c>
      <c r="B54" s="11" t="s">
        <v>471</v>
      </c>
      <c r="C54" s="11" t="s">
        <v>61</v>
      </c>
      <c r="D54" s="11" t="s">
        <v>641</v>
      </c>
      <c r="E54" s="11" t="s">
        <v>144</v>
      </c>
    </row>
    <row r="55" spans="1:5" x14ac:dyDescent="0.3">
      <c r="A55" s="11" t="s">
        <v>945</v>
      </c>
      <c r="B55" s="11" t="s">
        <v>471</v>
      </c>
      <c r="C55" s="11" t="s">
        <v>62</v>
      </c>
      <c r="D55" s="11" t="s">
        <v>642</v>
      </c>
      <c r="E55" s="11" t="s">
        <v>145</v>
      </c>
    </row>
    <row r="56" spans="1:5" x14ac:dyDescent="0.3">
      <c r="A56" s="11" t="s">
        <v>946</v>
      </c>
      <c r="B56" s="11" t="s">
        <v>535</v>
      </c>
      <c r="C56" s="11" t="s">
        <v>63</v>
      </c>
      <c r="D56" s="11" t="s">
        <v>643</v>
      </c>
      <c r="E56" s="11" t="s">
        <v>146</v>
      </c>
    </row>
    <row r="57" spans="1:5" x14ac:dyDescent="0.3">
      <c r="A57" s="11" t="s">
        <v>947</v>
      </c>
      <c r="B57" s="11" t="s">
        <v>471</v>
      </c>
      <c r="C57" s="11" t="s">
        <v>64</v>
      </c>
      <c r="D57" s="11" t="s">
        <v>644</v>
      </c>
      <c r="E57" s="11" t="s">
        <v>147</v>
      </c>
    </row>
    <row r="58" spans="1:5" x14ac:dyDescent="0.3">
      <c r="A58" s="11" t="s">
        <v>948</v>
      </c>
      <c r="B58" s="11" t="s">
        <v>471</v>
      </c>
      <c r="C58" s="11" t="s">
        <v>65</v>
      </c>
      <c r="D58" s="11" t="s">
        <v>645</v>
      </c>
      <c r="E58" s="11" t="s">
        <v>148</v>
      </c>
    </row>
    <row r="59" spans="1:5" x14ac:dyDescent="0.3">
      <c r="A59" s="11" t="s">
        <v>949</v>
      </c>
      <c r="B59" s="11" t="s">
        <v>535</v>
      </c>
      <c r="C59" s="11" t="s">
        <v>66</v>
      </c>
      <c r="D59" s="11" t="s">
        <v>646</v>
      </c>
      <c r="E59" s="11" t="s">
        <v>149</v>
      </c>
    </row>
    <row r="60" spans="1:5" x14ac:dyDescent="0.3">
      <c r="A60" s="11" t="s">
        <v>950</v>
      </c>
      <c r="B60" s="11" t="s">
        <v>463</v>
      </c>
      <c r="C60" s="11" t="s">
        <v>67</v>
      </c>
      <c r="D60" s="11" t="s">
        <v>647</v>
      </c>
      <c r="E60" s="11" t="s">
        <v>150</v>
      </c>
    </row>
    <row r="61" spans="1:5" x14ac:dyDescent="0.3">
      <c r="A61" s="11" t="s">
        <v>951</v>
      </c>
      <c r="B61" s="11" t="s">
        <v>471</v>
      </c>
      <c r="C61" s="11" t="s">
        <v>435</v>
      </c>
      <c r="D61" s="11" t="s">
        <v>1141</v>
      </c>
      <c r="E61" s="11" t="s">
        <v>452</v>
      </c>
    </row>
    <row r="62" spans="1:5" x14ac:dyDescent="0.3">
      <c r="A62" s="11" t="s">
        <v>952</v>
      </c>
      <c r="B62" s="11" t="s">
        <v>471</v>
      </c>
      <c r="C62" s="11" t="s">
        <v>68</v>
      </c>
      <c r="D62" s="11" t="s">
        <v>648</v>
      </c>
      <c r="E62" s="11" t="s">
        <v>151</v>
      </c>
    </row>
    <row r="63" spans="1:5" x14ac:dyDescent="0.3">
      <c r="A63" s="11" t="s">
        <v>953</v>
      </c>
      <c r="B63" s="11" t="s">
        <v>471</v>
      </c>
      <c r="C63" s="11" t="s">
        <v>69</v>
      </c>
      <c r="D63" s="11" t="s">
        <v>649</v>
      </c>
      <c r="E63" s="11" t="s">
        <v>152</v>
      </c>
    </row>
    <row r="64" spans="1:5" x14ac:dyDescent="0.3">
      <c r="A64" s="11" t="s">
        <v>954</v>
      </c>
      <c r="B64" s="11" t="s">
        <v>471</v>
      </c>
      <c r="C64" s="11" t="s">
        <v>70</v>
      </c>
      <c r="D64" s="11" t="s">
        <v>650</v>
      </c>
      <c r="E64" s="11" t="s">
        <v>153</v>
      </c>
    </row>
    <row r="65" spans="1:5" x14ac:dyDescent="0.3">
      <c r="A65" s="11" t="s">
        <v>955</v>
      </c>
      <c r="B65" s="11" t="s">
        <v>463</v>
      </c>
      <c r="C65" s="11" t="s">
        <v>71</v>
      </c>
      <c r="D65" s="11" t="s">
        <v>651</v>
      </c>
      <c r="E65" s="11" t="s">
        <v>154</v>
      </c>
    </row>
    <row r="66" spans="1:5" x14ac:dyDescent="0.3">
      <c r="A66" s="11" t="s">
        <v>956</v>
      </c>
      <c r="B66" s="11" t="s">
        <v>471</v>
      </c>
      <c r="C66" s="11" t="s">
        <v>72</v>
      </c>
      <c r="D66" s="11" t="s">
        <v>652</v>
      </c>
      <c r="E66" s="11" t="s">
        <v>155</v>
      </c>
    </row>
    <row r="67" spans="1:5" x14ac:dyDescent="0.3">
      <c r="A67" s="11" t="s">
        <v>957</v>
      </c>
      <c r="B67" s="11" t="s">
        <v>471</v>
      </c>
      <c r="C67" s="11" t="s">
        <v>73</v>
      </c>
      <c r="D67" s="11" t="s">
        <v>653</v>
      </c>
      <c r="E67" s="11" t="s">
        <v>156</v>
      </c>
    </row>
    <row r="68" spans="1:5" x14ac:dyDescent="0.3">
      <c r="A68" s="11" t="s">
        <v>958</v>
      </c>
      <c r="B68" s="11" t="s">
        <v>471</v>
      </c>
      <c r="C68" s="11" t="s">
        <v>74</v>
      </c>
      <c r="D68" s="11" t="s">
        <v>654</v>
      </c>
      <c r="E68" s="11" t="s">
        <v>157</v>
      </c>
    </row>
    <row r="69" spans="1:5" x14ac:dyDescent="0.3">
      <c r="A69" s="11" t="s">
        <v>959</v>
      </c>
      <c r="B69" s="11" t="s">
        <v>471</v>
      </c>
      <c r="C69" s="11" t="s">
        <v>75</v>
      </c>
      <c r="D69" s="11" t="s">
        <v>655</v>
      </c>
      <c r="E69" s="11" t="s">
        <v>158</v>
      </c>
    </row>
    <row r="70" spans="1:5" x14ac:dyDescent="0.3">
      <c r="A70" s="11" t="s">
        <v>960</v>
      </c>
      <c r="B70" s="11" t="s">
        <v>471</v>
      </c>
      <c r="C70" s="11" t="s">
        <v>76</v>
      </c>
      <c r="D70" s="11" t="s">
        <v>656</v>
      </c>
      <c r="E70" s="11" t="s">
        <v>159</v>
      </c>
    </row>
    <row r="71" spans="1:5" x14ac:dyDescent="0.3">
      <c r="A71" s="11" t="s">
        <v>961</v>
      </c>
      <c r="B71" s="11" t="s">
        <v>471</v>
      </c>
      <c r="C71" s="11" t="s">
        <v>77</v>
      </c>
      <c r="D71" s="11" t="s">
        <v>657</v>
      </c>
      <c r="E71" s="11" t="s">
        <v>160</v>
      </c>
    </row>
    <row r="72" spans="1:5" x14ac:dyDescent="0.3">
      <c r="A72" s="11" t="s">
        <v>962</v>
      </c>
      <c r="B72" s="11" t="s">
        <v>471</v>
      </c>
      <c r="C72" s="11" t="s">
        <v>78</v>
      </c>
      <c r="D72" s="11" t="s">
        <v>658</v>
      </c>
      <c r="E72" s="11" t="s">
        <v>161</v>
      </c>
    </row>
    <row r="73" spans="1:5" x14ac:dyDescent="0.3">
      <c r="A73" s="11" t="s">
        <v>963</v>
      </c>
      <c r="B73" s="11" t="s">
        <v>535</v>
      </c>
      <c r="C73" s="11" t="s">
        <v>79</v>
      </c>
      <c r="D73" s="11" t="s">
        <v>659</v>
      </c>
      <c r="E73" s="11" t="s">
        <v>162</v>
      </c>
    </row>
    <row r="74" spans="1:5" x14ac:dyDescent="0.3">
      <c r="A74" s="11" t="s">
        <v>964</v>
      </c>
      <c r="B74" s="11" t="s">
        <v>471</v>
      </c>
      <c r="C74" s="11" t="s">
        <v>80</v>
      </c>
      <c r="D74" s="11" t="s">
        <v>660</v>
      </c>
      <c r="E74" s="11" t="s">
        <v>163</v>
      </c>
    </row>
    <row r="75" spans="1:5" x14ac:dyDescent="0.3">
      <c r="A75" s="11" t="s">
        <v>965</v>
      </c>
      <c r="B75" s="11" t="s">
        <v>471</v>
      </c>
      <c r="C75" s="11" t="s">
        <v>436</v>
      </c>
      <c r="D75" s="11" t="s">
        <v>1142</v>
      </c>
      <c r="E75" s="11" t="s">
        <v>454</v>
      </c>
    </row>
    <row r="76" spans="1:5" x14ac:dyDescent="0.3">
      <c r="A76" s="11" t="s">
        <v>966</v>
      </c>
      <c r="B76" s="11" t="s">
        <v>463</v>
      </c>
      <c r="C76" s="11" t="s">
        <v>81</v>
      </c>
      <c r="D76" s="11" t="s">
        <v>661</v>
      </c>
      <c r="E76" s="11" t="s">
        <v>165</v>
      </c>
    </row>
    <row r="77" spans="1:5" x14ac:dyDescent="0.3">
      <c r="A77" s="11" t="s">
        <v>967</v>
      </c>
      <c r="B77" s="11" t="s">
        <v>535</v>
      </c>
      <c r="C77" s="11" t="s">
        <v>82</v>
      </c>
      <c r="D77" s="11" t="s">
        <v>663</v>
      </c>
      <c r="E77" s="11" t="s">
        <v>166</v>
      </c>
    </row>
    <row r="78" spans="1:5" x14ac:dyDescent="0.3">
      <c r="A78" s="11" t="s">
        <v>968</v>
      </c>
      <c r="B78" s="11" t="s">
        <v>471</v>
      </c>
      <c r="C78" s="11" t="s">
        <v>83</v>
      </c>
      <c r="D78" s="11" t="s">
        <v>664</v>
      </c>
      <c r="E78" s="11" t="s">
        <v>167</v>
      </c>
    </row>
    <row r="79" spans="1:5" x14ac:dyDescent="0.3">
      <c r="A79" s="11" t="s">
        <v>969</v>
      </c>
      <c r="B79" s="11" t="s">
        <v>535</v>
      </c>
      <c r="C79" s="11" t="s">
        <v>84</v>
      </c>
      <c r="D79" s="11" t="s">
        <v>665</v>
      </c>
      <c r="E79" s="11" t="s">
        <v>168</v>
      </c>
    </row>
    <row r="80" spans="1:5" x14ac:dyDescent="0.3">
      <c r="A80" s="11" t="s">
        <v>970</v>
      </c>
      <c r="B80" s="11" t="s">
        <v>535</v>
      </c>
      <c r="C80" s="11" t="s">
        <v>85</v>
      </c>
      <c r="D80" s="11" t="s">
        <v>666</v>
      </c>
      <c r="E80" s="11" t="s">
        <v>169</v>
      </c>
    </row>
    <row r="81" spans="1:5" x14ac:dyDescent="0.3">
      <c r="A81" s="11" t="s">
        <v>971</v>
      </c>
      <c r="B81" s="11" t="s">
        <v>471</v>
      </c>
      <c r="C81" s="11" t="s">
        <v>86</v>
      </c>
      <c r="D81" s="11" t="s">
        <v>667</v>
      </c>
      <c r="E81" s="11" t="s">
        <v>170</v>
      </c>
    </row>
    <row r="82" spans="1:5" x14ac:dyDescent="0.3">
      <c r="A82" s="11" t="s">
        <v>972</v>
      </c>
      <c r="B82" s="11" t="s">
        <v>471</v>
      </c>
      <c r="C82" s="11" t="s">
        <v>87</v>
      </c>
      <c r="D82" s="11" t="s">
        <v>668</v>
      </c>
      <c r="E82" s="11" t="s">
        <v>171</v>
      </c>
    </row>
    <row r="83" spans="1:5" x14ac:dyDescent="0.3">
      <c r="A83" s="11" t="s">
        <v>973</v>
      </c>
      <c r="B83" s="11" t="s">
        <v>535</v>
      </c>
      <c r="C83" s="11" t="s">
        <v>88</v>
      </c>
      <c r="D83" s="11" t="s">
        <v>669</v>
      </c>
      <c r="E83" s="11" t="s">
        <v>172</v>
      </c>
    </row>
    <row r="84" spans="1:5" x14ac:dyDescent="0.3">
      <c r="A84" s="11" t="s">
        <v>974</v>
      </c>
      <c r="B84" s="11" t="s">
        <v>535</v>
      </c>
      <c r="C84" s="11" t="s">
        <v>89</v>
      </c>
      <c r="D84" s="11" t="s">
        <v>670</v>
      </c>
      <c r="E84" s="11" t="s">
        <v>173</v>
      </c>
    </row>
    <row r="85" spans="1:5" x14ac:dyDescent="0.3">
      <c r="A85" s="11" t="s">
        <v>975</v>
      </c>
      <c r="B85" s="11" t="s">
        <v>471</v>
      </c>
      <c r="C85" s="11" t="s">
        <v>90</v>
      </c>
      <c r="D85" s="11" t="s">
        <v>671</v>
      </c>
      <c r="E85" s="11" t="s">
        <v>174</v>
      </c>
    </row>
    <row r="86" spans="1:5" x14ac:dyDescent="0.3">
      <c r="A86" s="11" t="s">
        <v>976</v>
      </c>
      <c r="B86" s="11" t="s">
        <v>535</v>
      </c>
      <c r="C86" s="11" t="s">
        <v>91</v>
      </c>
      <c r="D86" s="11" t="s">
        <v>672</v>
      </c>
      <c r="E86" s="11" t="s">
        <v>175</v>
      </c>
    </row>
    <row r="87" spans="1:5" x14ac:dyDescent="0.3">
      <c r="A87" s="11" t="s">
        <v>977</v>
      </c>
      <c r="B87" s="11" t="s">
        <v>471</v>
      </c>
      <c r="C87" s="11" t="s">
        <v>92</v>
      </c>
      <c r="D87" s="11" t="s">
        <v>673</v>
      </c>
      <c r="E87" s="11" t="s">
        <v>176</v>
      </c>
    </row>
    <row r="88" spans="1:5" x14ac:dyDescent="0.3">
      <c r="A88" s="11" t="s">
        <v>978</v>
      </c>
      <c r="B88" s="11" t="s">
        <v>471</v>
      </c>
      <c r="C88" s="11" t="s">
        <v>93</v>
      </c>
      <c r="D88" s="11" t="s">
        <v>674</v>
      </c>
      <c r="E88" s="11" t="s">
        <v>177</v>
      </c>
    </row>
    <row r="89" spans="1:5" x14ac:dyDescent="0.3">
      <c r="A89" s="11" t="s">
        <v>979</v>
      </c>
      <c r="B89" s="11" t="s">
        <v>459</v>
      </c>
      <c r="C89" s="11" t="s">
        <v>182</v>
      </c>
      <c r="D89" s="11" t="s">
        <v>675</v>
      </c>
      <c r="E89" s="11" t="s">
        <v>178</v>
      </c>
    </row>
    <row r="90" spans="1:5" x14ac:dyDescent="0.3">
      <c r="A90" s="11" t="s">
        <v>980</v>
      </c>
      <c r="B90" s="11" t="s">
        <v>471</v>
      </c>
      <c r="C90" s="11" t="s">
        <v>183</v>
      </c>
      <c r="D90" s="11" t="s">
        <v>676</v>
      </c>
      <c r="E90" s="11" t="s">
        <v>179</v>
      </c>
    </row>
    <row r="91" spans="1:5" x14ac:dyDescent="0.3">
      <c r="A91" s="11" t="s">
        <v>981</v>
      </c>
      <c r="B91" s="11" t="s">
        <v>535</v>
      </c>
      <c r="C91" s="11" t="s">
        <v>438</v>
      </c>
      <c r="D91" s="11" t="s">
        <v>1150</v>
      </c>
      <c r="E91" s="11" t="s">
        <v>439</v>
      </c>
    </row>
    <row r="92" spans="1:5" x14ac:dyDescent="0.3">
      <c r="A92" s="11" t="s">
        <v>982</v>
      </c>
      <c r="B92" s="11" t="s">
        <v>459</v>
      </c>
      <c r="C92" s="11" t="s">
        <v>184</v>
      </c>
      <c r="D92" s="11" t="s">
        <v>678</v>
      </c>
      <c r="E92" s="11" t="s">
        <v>180</v>
      </c>
    </row>
    <row r="93" spans="1:5" x14ac:dyDescent="0.3">
      <c r="A93" s="11" t="s">
        <v>983</v>
      </c>
      <c r="B93" s="11" t="s">
        <v>471</v>
      </c>
      <c r="C93" s="11" t="s">
        <v>185</v>
      </c>
      <c r="D93" s="11" t="s">
        <v>679</v>
      </c>
      <c r="E93" s="11" t="s">
        <v>181</v>
      </c>
    </row>
    <row r="94" spans="1:5" x14ac:dyDescent="0.3">
      <c r="A94" s="11" t="s">
        <v>984</v>
      </c>
      <c r="B94" s="11" t="s">
        <v>463</v>
      </c>
      <c r="C94" s="11" t="s">
        <v>186</v>
      </c>
      <c r="D94" s="11" t="s">
        <v>682</v>
      </c>
      <c r="E94" s="11" t="s">
        <v>305</v>
      </c>
    </row>
    <row r="95" spans="1:5" x14ac:dyDescent="0.3">
      <c r="A95" s="11" t="s">
        <v>985</v>
      </c>
      <c r="B95" s="11" t="s">
        <v>471</v>
      </c>
      <c r="C95" s="11" t="s">
        <v>187</v>
      </c>
      <c r="D95" s="11" t="s">
        <v>1143</v>
      </c>
      <c r="E95" s="11" t="s">
        <v>306</v>
      </c>
    </row>
    <row r="96" spans="1:5" x14ac:dyDescent="0.3">
      <c r="A96" s="11" t="s">
        <v>986</v>
      </c>
      <c r="B96" s="11" t="s">
        <v>471</v>
      </c>
      <c r="C96" s="11" t="s">
        <v>188</v>
      </c>
      <c r="D96" s="11" t="s">
        <v>683</v>
      </c>
      <c r="E96" s="11" t="s">
        <v>307</v>
      </c>
    </row>
    <row r="97" spans="1:5" x14ac:dyDescent="0.3">
      <c r="A97" s="11" t="s">
        <v>987</v>
      </c>
      <c r="B97" s="11" t="s">
        <v>471</v>
      </c>
      <c r="C97" s="11" t="s">
        <v>189</v>
      </c>
      <c r="D97" s="11" t="s">
        <v>684</v>
      </c>
      <c r="E97" s="11" t="s">
        <v>308</v>
      </c>
    </row>
    <row r="98" spans="1:5" x14ac:dyDescent="0.3">
      <c r="A98" s="11" t="s">
        <v>988</v>
      </c>
      <c r="B98" s="11" t="s">
        <v>471</v>
      </c>
      <c r="C98" s="11" t="s">
        <v>190</v>
      </c>
      <c r="D98" s="11" t="s">
        <v>685</v>
      </c>
      <c r="E98" s="11" t="s">
        <v>309</v>
      </c>
    </row>
    <row r="99" spans="1:5" x14ac:dyDescent="0.3">
      <c r="A99" s="11" t="s">
        <v>989</v>
      </c>
      <c r="B99" s="11" t="s">
        <v>535</v>
      </c>
      <c r="C99" s="11" t="s">
        <v>191</v>
      </c>
      <c r="D99" s="11" t="s">
        <v>686</v>
      </c>
      <c r="E99" s="11" t="s">
        <v>310</v>
      </c>
    </row>
    <row r="100" spans="1:5" x14ac:dyDescent="0.3">
      <c r="A100" s="11" t="s">
        <v>990</v>
      </c>
      <c r="B100" s="11" t="s">
        <v>471</v>
      </c>
      <c r="C100" s="11" t="s">
        <v>192</v>
      </c>
      <c r="D100" s="11" t="s">
        <v>687</v>
      </c>
      <c r="E100" s="11" t="s">
        <v>311</v>
      </c>
    </row>
    <row r="101" spans="1:5" x14ac:dyDescent="0.3">
      <c r="A101" s="11" t="s">
        <v>991</v>
      </c>
      <c r="B101" s="11" t="s">
        <v>471</v>
      </c>
      <c r="C101" s="11" t="s">
        <v>193</v>
      </c>
      <c r="D101" s="11" t="s">
        <v>1144</v>
      </c>
      <c r="E101" s="11" t="s">
        <v>312</v>
      </c>
    </row>
    <row r="102" spans="1:5" x14ac:dyDescent="0.3">
      <c r="A102" s="11" t="s">
        <v>992</v>
      </c>
      <c r="B102" s="11" t="s">
        <v>535</v>
      </c>
      <c r="C102" s="11" t="s">
        <v>194</v>
      </c>
      <c r="D102" s="11" t="s">
        <v>688</v>
      </c>
      <c r="E102" s="11" t="s">
        <v>313</v>
      </c>
    </row>
    <row r="103" spans="1:5" x14ac:dyDescent="0.3">
      <c r="A103" s="11" t="s">
        <v>993</v>
      </c>
      <c r="B103" s="11" t="s">
        <v>471</v>
      </c>
      <c r="C103" s="11" t="s">
        <v>195</v>
      </c>
      <c r="D103" s="11" t="s">
        <v>689</v>
      </c>
      <c r="E103" s="11" t="s">
        <v>314</v>
      </c>
    </row>
    <row r="104" spans="1:5" x14ac:dyDescent="0.3">
      <c r="A104" s="11" t="s">
        <v>994</v>
      </c>
      <c r="B104" s="11" t="s">
        <v>471</v>
      </c>
      <c r="C104" s="11" t="s">
        <v>196</v>
      </c>
      <c r="D104" s="11" t="s">
        <v>690</v>
      </c>
      <c r="E104" s="11" t="s">
        <v>315</v>
      </c>
    </row>
    <row r="105" spans="1:5" x14ac:dyDescent="0.3">
      <c r="A105" s="11" t="s">
        <v>995</v>
      </c>
      <c r="B105" s="11" t="s">
        <v>471</v>
      </c>
      <c r="C105" s="11" t="s">
        <v>197</v>
      </c>
      <c r="D105" s="11" t="s">
        <v>691</v>
      </c>
      <c r="E105" s="11" t="s">
        <v>316</v>
      </c>
    </row>
    <row r="106" spans="1:5" x14ac:dyDescent="0.3">
      <c r="A106" s="11" t="s">
        <v>996</v>
      </c>
      <c r="B106" s="11" t="s">
        <v>463</v>
      </c>
      <c r="C106" s="11" t="s">
        <v>198</v>
      </c>
      <c r="D106" s="11" t="s">
        <v>692</v>
      </c>
      <c r="E106" s="11" t="s">
        <v>317</v>
      </c>
    </row>
    <row r="107" spans="1:5" x14ac:dyDescent="0.3">
      <c r="A107" s="11" t="s">
        <v>997</v>
      </c>
      <c r="B107" s="11" t="s">
        <v>471</v>
      </c>
      <c r="C107" s="11" t="s">
        <v>199</v>
      </c>
      <c r="D107" s="11" t="s">
        <v>693</v>
      </c>
      <c r="E107" s="11" t="s">
        <v>318</v>
      </c>
    </row>
    <row r="108" spans="1:5" x14ac:dyDescent="0.3">
      <c r="A108" s="11" t="s">
        <v>998</v>
      </c>
      <c r="B108" s="11" t="s">
        <v>471</v>
      </c>
      <c r="C108" s="11" t="s">
        <v>200</v>
      </c>
      <c r="D108" s="11" t="s">
        <v>694</v>
      </c>
      <c r="E108" s="11" t="s">
        <v>319</v>
      </c>
    </row>
    <row r="109" spans="1:5" x14ac:dyDescent="0.3">
      <c r="A109" s="11" t="s">
        <v>999</v>
      </c>
      <c r="B109" s="11" t="s">
        <v>463</v>
      </c>
      <c r="C109" s="11" t="s">
        <v>201</v>
      </c>
      <c r="D109" s="11" t="s">
        <v>695</v>
      </c>
      <c r="E109" s="11" t="s">
        <v>320</v>
      </c>
    </row>
    <row r="110" spans="1:5" x14ac:dyDescent="0.3">
      <c r="A110" s="11" t="s">
        <v>1000</v>
      </c>
      <c r="B110" s="11" t="s">
        <v>535</v>
      </c>
      <c r="C110" s="11" t="s">
        <v>202</v>
      </c>
      <c r="D110" s="11" t="s">
        <v>696</v>
      </c>
      <c r="E110" s="11" t="s">
        <v>321</v>
      </c>
    </row>
    <row r="111" spans="1:5" x14ac:dyDescent="0.3">
      <c r="A111" s="11" t="s">
        <v>1001</v>
      </c>
      <c r="B111" s="11" t="s">
        <v>535</v>
      </c>
      <c r="C111" s="11" t="s">
        <v>442</v>
      </c>
      <c r="D111" s="11" t="s">
        <v>1152</v>
      </c>
      <c r="E111" s="11" t="s">
        <v>443</v>
      </c>
    </row>
    <row r="112" spans="1:5" x14ac:dyDescent="0.3">
      <c r="A112" s="11" t="s">
        <v>1002</v>
      </c>
      <c r="B112" s="11" t="s">
        <v>471</v>
      </c>
      <c r="C112" s="11" t="s">
        <v>203</v>
      </c>
      <c r="D112" s="11" t="s">
        <v>697</v>
      </c>
      <c r="E112" s="11" t="s">
        <v>322</v>
      </c>
    </row>
    <row r="113" spans="1:5" x14ac:dyDescent="0.3">
      <c r="A113" s="11" t="s">
        <v>1003</v>
      </c>
      <c r="B113" s="11" t="s">
        <v>535</v>
      </c>
      <c r="C113" s="11" t="s">
        <v>204</v>
      </c>
      <c r="D113" s="11" t="s">
        <v>698</v>
      </c>
      <c r="E113" s="11" t="s">
        <v>323</v>
      </c>
    </row>
    <row r="114" spans="1:5" x14ac:dyDescent="0.3">
      <c r="A114" s="11" t="s">
        <v>1004</v>
      </c>
      <c r="B114" s="11" t="s">
        <v>535</v>
      </c>
      <c r="C114" s="11" t="s">
        <v>205</v>
      </c>
      <c r="D114" s="11" t="s">
        <v>699</v>
      </c>
      <c r="E114" s="11" t="s">
        <v>324</v>
      </c>
    </row>
    <row r="115" spans="1:5" x14ac:dyDescent="0.3">
      <c r="A115" s="11" t="s">
        <v>1005</v>
      </c>
      <c r="B115" s="11" t="s">
        <v>471</v>
      </c>
      <c r="C115" s="11" t="s">
        <v>206</v>
      </c>
      <c r="D115" s="11" t="s">
        <v>700</v>
      </c>
      <c r="E115" s="11" t="s">
        <v>325</v>
      </c>
    </row>
    <row r="116" spans="1:5" x14ac:dyDescent="0.3">
      <c r="A116" s="11" t="s">
        <v>1006</v>
      </c>
      <c r="B116" s="11" t="s">
        <v>471</v>
      </c>
      <c r="C116" s="11" t="s">
        <v>207</v>
      </c>
      <c r="D116" s="11" t="s">
        <v>701</v>
      </c>
      <c r="E116" s="11" t="s">
        <v>326</v>
      </c>
    </row>
    <row r="117" spans="1:5" x14ac:dyDescent="0.3">
      <c r="A117" s="11" t="s">
        <v>1007</v>
      </c>
      <c r="B117" s="11" t="s">
        <v>535</v>
      </c>
      <c r="C117" s="11" t="s">
        <v>208</v>
      </c>
      <c r="D117" s="11" t="s">
        <v>702</v>
      </c>
      <c r="E117" s="11" t="s">
        <v>327</v>
      </c>
    </row>
    <row r="118" spans="1:5" x14ac:dyDescent="0.3">
      <c r="A118" s="11" t="s">
        <v>1008</v>
      </c>
      <c r="B118" s="11" t="s">
        <v>471</v>
      </c>
      <c r="C118" s="11" t="s">
        <v>209</v>
      </c>
      <c r="D118" s="11" t="s">
        <v>703</v>
      </c>
      <c r="E118" s="11" t="s">
        <v>328</v>
      </c>
    </row>
    <row r="119" spans="1:5" x14ac:dyDescent="0.3">
      <c r="A119" s="11" t="s">
        <v>1009</v>
      </c>
      <c r="B119" s="11" t="s">
        <v>462</v>
      </c>
      <c r="C119" s="11" t="s">
        <v>210</v>
      </c>
      <c r="D119" s="11" t="s">
        <v>704</v>
      </c>
      <c r="E119" s="11" t="s">
        <v>329</v>
      </c>
    </row>
    <row r="120" spans="1:5" x14ac:dyDescent="0.3">
      <c r="A120" s="11" t="s">
        <v>1010</v>
      </c>
      <c r="B120" s="11" t="s">
        <v>471</v>
      </c>
      <c r="C120" s="11" t="s">
        <v>211</v>
      </c>
      <c r="D120" s="11" t="s">
        <v>705</v>
      </c>
      <c r="E120" s="11" t="s">
        <v>330</v>
      </c>
    </row>
    <row r="121" spans="1:5" x14ac:dyDescent="0.3">
      <c r="A121" s="11" t="s">
        <v>1011</v>
      </c>
      <c r="B121" s="11" t="s">
        <v>471</v>
      </c>
      <c r="C121" s="11" t="s">
        <v>212</v>
      </c>
      <c r="D121" s="11" t="s">
        <v>706</v>
      </c>
      <c r="E121" s="11" t="s">
        <v>331</v>
      </c>
    </row>
    <row r="122" spans="1:5" x14ac:dyDescent="0.3">
      <c r="A122" s="11" t="s">
        <v>1012</v>
      </c>
      <c r="B122" s="11" t="s">
        <v>535</v>
      </c>
      <c r="C122" s="11" t="s">
        <v>213</v>
      </c>
      <c r="D122" s="11" t="s">
        <v>707</v>
      </c>
      <c r="E122" s="11" t="s">
        <v>332</v>
      </c>
    </row>
    <row r="123" spans="1:5" x14ac:dyDescent="0.3">
      <c r="A123" s="11" t="s">
        <v>1013</v>
      </c>
      <c r="B123" s="11" t="s">
        <v>471</v>
      </c>
      <c r="C123" s="11" t="s">
        <v>214</v>
      </c>
      <c r="D123" s="11" t="s">
        <v>708</v>
      </c>
      <c r="E123" s="11" t="s">
        <v>333</v>
      </c>
    </row>
    <row r="124" spans="1:5" x14ac:dyDescent="0.3">
      <c r="A124" s="11" t="s">
        <v>1014</v>
      </c>
      <c r="B124" s="11" t="s">
        <v>463</v>
      </c>
      <c r="C124" s="11" t="s">
        <v>215</v>
      </c>
      <c r="D124" s="11" t="s">
        <v>709</v>
      </c>
      <c r="E124" s="11" t="s">
        <v>334</v>
      </c>
    </row>
    <row r="125" spans="1:5" x14ac:dyDescent="0.3">
      <c r="A125" s="11" t="s">
        <v>1015</v>
      </c>
      <c r="B125" s="11" t="s">
        <v>535</v>
      </c>
      <c r="C125" s="11" t="s">
        <v>216</v>
      </c>
      <c r="D125" s="11" t="s">
        <v>710</v>
      </c>
      <c r="E125" s="11" t="s">
        <v>335</v>
      </c>
    </row>
    <row r="126" spans="1:5" x14ac:dyDescent="0.3">
      <c r="A126" s="11" t="s">
        <v>1016</v>
      </c>
      <c r="B126" s="11" t="s">
        <v>471</v>
      </c>
      <c r="C126" s="11" t="s">
        <v>217</v>
      </c>
      <c r="D126" s="11" t="s">
        <v>711</v>
      </c>
      <c r="E126" s="11" t="s">
        <v>336</v>
      </c>
    </row>
    <row r="127" spans="1:5" x14ac:dyDescent="0.3">
      <c r="A127" s="11" t="s">
        <v>1017</v>
      </c>
      <c r="B127" s="11" t="s">
        <v>471</v>
      </c>
      <c r="C127" s="11" t="s">
        <v>218</v>
      </c>
      <c r="D127" s="11" t="s">
        <v>712</v>
      </c>
      <c r="E127" s="11" t="s">
        <v>337</v>
      </c>
    </row>
    <row r="128" spans="1:5" x14ac:dyDescent="0.3">
      <c r="A128" s="11" t="s">
        <v>1018</v>
      </c>
      <c r="B128" s="11" t="s">
        <v>535</v>
      </c>
      <c r="C128" s="11" t="s">
        <v>219</v>
      </c>
      <c r="D128" s="11" t="s">
        <v>713</v>
      </c>
      <c r="E128" s="11" t="s">
        <v>338</v>
      </c>
    </row>
    <row r="129" spans="1:5" x14ac:dyDescent="0.3">
      <c r="A129" s="11" t="s">
        <v>1019</v>
      </c>
      <c r="B129" s="11" t="s">
        <v>459</v>
      </c>
      <c r="C129" s="11" t="s">
        <v>220</v>
      </c>
      <c r="D129" s="11" t="s">
        <v>714</v>
      </c>
      <c r="E129" s="11" t="s">
        <v>339</v>
      </c>
    </row>
    <row r="130" spans="1:5" x14ac:dyDescent="0.3">
      <c r="A130" s="11" t="s">
        <v>1020</v>
      </c>
      <c r="B130" s="11" t="s">
        <v>471</v>
      </c>
      <c r="C130" s="11" t="s">
        <v>221</v>
      </c>
      <c r="D130" s="11" t="s">
        <v>715</v>
      </c>
      <c r="E130" s="11" t="s">
        <v>340</v>
      </c>
    </row>
    <row r="131" spans="1:5" x14ac:dyDescent="0.3">
      <c r="A131" s="11" t="s">
        <v>1021</v>
      </c>
      <c r="B131" s="11" t="s">
        <v>471</v>
      </c>
      <c r="C131" s="11" t="s">
        <v>222</v>
      </c>
      <c r="D131" s="11" t="s">
        <v>716</v>
      </c>
      <c r="E131" s="11" t="s">
        <v>341</v>
      </c>
    </row>
    <row r="132" spans="1:5" x14ac:dyDescent="0.3">
      <c r="A132" s="11" t="s">
        <v>1022</v>
      </c>
      <c r="B132" s="11" t="s">
        <v>535</v>
      </c>
      <c r="C132" s="11" t="s">
        <v>223</v>
      </c>
      <c r="D132" s="11" t="s">
        <v>717</v>
      </c>
      <c r="E132" s="11" t="s">
        <v>342</v>
      </c>
    </row>
    <row r="133" spans="1:5" x14ac:dyDescent="0.3">
      <c r="A133" s="11" t="s">
        <v>1023</v>
      </c>
      <c r="B133" s="11" t="s">
        <v>535</v>
      </c>
      <c r="C133" s="11" t="s">
        <v>224</v>
      </c>
      <c r="D133" s="11" t="s">
        <v>718</v>
      </c>
      <c r="E133" s="11" t="s">
        <v>343</v>
      </c>
    </row>
    <row r="134" spans="1:5" x14ac:dyDescent="0.3">
      <c r="A134" s="11" t="s">
        <v>1024</v>
      </c>
      <c r="B134" s="11" t="s">
        <v>535</v>
      </c>
      <c r="C134" s="11" t="s">
        <v>225</v>
      </c>
      <c r="D134" s="11" t="s">
        <v>719</v>
      </c>
      <c r="E134" s="11" t="s">
        <v>344</v>
      </c>
    </row>
    <row r="135" spans="1:5" x14ac:dyDescent="0.3">
      <c r="A135" s="11" t="s">
        <v>1025</v>
      </c>
      <c r="B135" s="11" t="s">
        <v>471</v>
      </c>
      <c r="C135" s="11" t="s">
        <v>226</v>
      </c>
      <c r="D135" s="11" t="s">
        <v>720</v>
      </c>
      <c r="E135" s="11" t="s">
        <v>345</v>
      </c>
    </row>
    <row r="136" spans="1:5" x14ac:dyDescent="0.3">
      <c r="A136" s="11" t="s">
        <v>1026</v>
      </c>
      <c r="B136" s="11" t="s">
        <v>463</v>
      </c>
      <c r="C136" s="11" t="s">
        <v>227</v>
      </c>
      <c r="D136" s="11" t="s">
        <v>721</v>
      </c>
      <c r="E136" s="11" t="s">
        <v>346</v>
      </c>
    </row>
    <row r="137" spans="1:5" x14ac:dyDescent="0.3">
      <c r="A137" s="11" t="s">
        <v>1027</v>
      </c>
      <c r="B137" s="11" t="s">
        <v>471</v>
      </c>
      <c r="C137" s="11" t="s">
        <v>228</v>
      </c>
      <c r="D137" s="11" t="s">
        <v>722</v>
      </c>
      <c r="E137" s="11" t="s">
        <v>347</v>
      </c>
    </row>
    <row r="138" spans="1:5" x14ac:dyDescent="0.3">
      <c r="A138" s="11" t="s">
        <v>1028</v>
      </c>
      <c r="B138" s="11" t="s">
        <v>471</v>
      </c>
      <c r="C138" s="11" t="s">
        <v>229</v>
      </c>
      <c r="D138" s="11" t="s">
        <v>723</v>
      </c>
      <c r="E138" s="11" t="s">
        <v>348</v>
      </c>
    </row>
    <row r="139" spans="1:5" x14ac:dyDescent="0.3">
      <c r="A139" s="11" t="s">
        <v>1154</v>
      </c>
      <c r="B139" s="11" t="s">
        <v>535</v>
      </c>
      <c r="C139" s="11" t="s">
        <v>230</v>
      </c>
      <c r="D139" s="11" t="s">
        <v>724</v>
      </c>
      <c r="E139" s="11" t="s">
        <v>349</v>
      </c>
    </row>
    <row r="140" spans="1:5" x14ac:dyDescent="0.3">
      <c r="A140" s="11" t="s">
        <v>1029</v>
      </c>
      <c r="B140" s="11" t="s">
        <v>535</v>
      </c>
      <c r="C140" s="11" t="s">
        <v>231</v>
      </c>
      <c r="D140" s="11" t="s">
        <v>725</v>
      </c>
      <c r="E140" s="11" t="s">
        <v>350</v>
      </c>
    </row>
    <row r="141" spans="1:5" x14ac:dyDescent="0.3">
      <c r="A141" s="11" t="s">
        <v>1030</v>
      </c>
      <c r="B141" s="11" t="s">
        <v>535</v>
      </c>
      <c r="C141" s="11" t="s">
        <v>232</v>
      </c>
      <c r="D141" s="11" t="s">
        <v>726</v>
      </c>
      <c r="E141" s="11" t="s">
        <v>351</v>
      </c>
    </row>
    <row r="142" spans="1:5" x14ac:dyDescent="0.3">
      <c r="A142" s="11" t="s">
        <v>1031</v>
      </c>
      <c r="B142" s="11" t="s">
        <v>535</v>
      </c>
      <c r="C142" s="11" t="s">
        <v>233</v>
      </c>
      <c r="D142" s="11" t="s">
        <v>727</v>
      </c>
      <c r="E142" s="11" t="s">
        <v>352</v>
      </c>
    </row>
    <row r="143" spans="1:5" x14ac:dyDescent="0.3">
      <c r="A143" s="11" t="s">
        <v>1032</v>
      </c>
      <c r="B143" s="11" t="s">
        <v>471</v>
      </c>
      <c r="C143" s="11" t="s">
        <v>581</v>
      </c>
      <c r="D143" s="11" t="s">
        <v>1153</v>
      </c>
      <c r="E143" s="11" t="s">
        <v>455</v>
      </c>
    </row>
    <row r="144" spans="1:5" x14ac:dyDescent="0.3">
      <c r="A144" s="11" t="s">
        <v>1033</v>
      </c>
      <c r="B144" s="11" t="s">
        <v>463</v>
      </c>
      <c r="C144" s="11" t="s">
        <v>234</v>
      </c>
      <c r="D144" s="11" t="s">
        <v>728</v>
      </c>
      <c r="E144" s="11" t="s">
        <v>353</v>
      </c>
    </row>
    <row r="145" spans="1:5" x14ac:dyDescent="0.3">
      <c r="A145" s="11" t="s">
        <v>1034</v>
      </c>
      <c r="B145" s="11" t="s">
        <v>471</v>
      </c>
      <c r="C145" s="11" t="s">
        <v>235</v>
      </c>
      <c r="D145" s="11" t="s">
        <v>729</v>
      </c>
      <c r="E145" s="11" t="s">
        <v>354</v>
      </c>
    </row>
    <row r="146" spans="1:5" x14ac:dyDescent="0.3">
      <c r="A146" s="11" t="s">
        <v>1035</v>
      </c>
      <c r="B146" s="11" t="s">
        <v>471</v>
      </c>
      <c r="C146" s="11" t="s">
        <v>236</v>
      </c>
      <c r="D146" s="11" t="s">
        <v>730</v>
      </c>
      <c r="E146" s="11" t="s">
        <v>355</v>
      </c>
    </row>
    <row r="147" spans="1:5" x14ac:dyDescent="0.3">
      <c r="A147" s="11" t="s">
        <v>1036</v>
      </c>
      <c r="B147" s="11" t="s">
        <v>535</v>
      </c>
      <c r="C147" s="11" t="s">
        <v>237</v>
      </c>
      <c r="D147" s="11" t="s">
        <v>731</v>
      </c>
      <c r="E147" s="11" t="s">
        <v>356</v>
      </c>
    </row>
    <row r="148" spans="1:5" x14ac:dyDescent="0.3">
      <c r="A148" s="11" t="s">
        <v>1037</v>
      </c>
      <c r="B148" s="11" t="s">
        <v>462</v>
      </c>
      <c r="C148" s="11" t="s">
        <v>238</v>
      </c>
      <c r="D148" s="11" t="s">
        <v>732</v>
      </c>
      <c r="E148" s="11" t="s">
        <v>357</v>
      </c>
    </row>
    <row r="149" spans="1:5" x14ac:dyDescent="0.3">
      <c r="A149" s="11" t="s">
        <v>1038</v>
      </c>
      <c r="B149" s="11" t="s">
        <v>535</v>
      </c>
      <c r="C149" s="11" t="s">
        <v>239</v>
      </c>
      <c r="D149" s="11" t="s">
        <v>733</v>
      </c>
      <c r="E149" s="11" t="s">
        <v>358</v>
      </c>
    </row>
    <row r="150" spans="1:5" x14ac:dyDescent="0.3">
      <c r="A150" s="11" t="s">
        <v>1039</v>
      </c>
      <c r="B150" s="11" t="s">
        <v>535</v>
      </c>
      <c r="C150" s="11" t="s">
        <v>240</v>
      </c>
      <c r="D150" s="11" t="s">
        <v>734</v>
      </c>
      <c r="E150" s="11" t="s">
        <v>359</v>
      </c>
    </row>
    <row r="151" spans="1:5" x14ac:dyDescent="0.3">
      <c r="A151" s="11" t="s">
        <v>1040</v>
      </c>
      <c r="B151" s="11" t="s">
        <v>471</v>
      </c>
      <c r="C151" s="11" t="s">
        <v>241</v>
      </c>
      <c r="D151" s="11" t="s">
        <v>735</v>
      </c>
      <c r="E151" s="11" t="s">
        <v>360</v>
      </c>
    </row>
    <row r="152" spans="1:5" x14ac:dyDescent="0.3">
      <c r="A152" s="11" t="s">
        <v>1041</v>
      </c>
      <c r="B152" s="11" t="s">
        <v>471</v>
      </c>
      <c r="C152" s="11" t="s">
        <v>582</v>
      </c>
      <c r="D152" s="11" t="s">
        <v>1145</v>
      </c>
      <c r="E152" s="11" t="s">
        <v>453</v>
      </c>
    </row>
    <row r="153" spans="1:5" x14ac:dyDescent="0.3">
      <c r="A153" s="11" t="s">
        <v>1042</v>
      </c>
      <c r="B153" s="11" t="s">
        <v>471</v>
      </c>
      <c r="C153" s="11" t="s">
        <v>242</v>
      </c>
      <c r="D153" s="11" t="s">
        <v>736</v>
      </c>
      <c r="E153" s="11" t="s">
        <v>361</v>
      </c>
    </row>
    <row r="154" spans="1:5" x14ac:dyDescent="0.3">
      <c r="A154" s="11" t="s">
        <v>1043</v>
      </c>
      <c r="B154" s="11" t="s">
        <v>535</v>
      </c>
      <c r="C154" s="11" t="s">
        <v>285</v>
      </c>
      <c r="D154" s="11" t="s">
        <v>739</v>
      </c>
      <c r="E154" s="11" t="s">
        <v>474</v>
      </c>
    </row>
    <row r="155" spans="1:5" x14ac:dyDescent="0.3">
      <c r="A155" s="11" t="s">
        <v>1044</v>
      </c>
      <c r="B155" s="11" t="s">
        <v>463</v>
      </c>
      <c r="C155" s="11" t="s">
        <v>243</v>
      </c>
      <c r="D155" s="11" t="s">
        <v>737</v>
      </c>
      <c r="E155" s="11" t="s">
        <v>363</v>
      </c>
    </row>
    <row r="156" spans="1:5" x14ac:dyDescent="0.3">
      <c r="A156" s="11" t="s">
        <v>1045</v>
      </c>
      <c r="B156" s="11" t="s">
        <v>535</v>
      </c>
      <c r="C156" s="11" t="s">
        <v>371</v>
      </c>
      <c r="D156" s="11" t="s">
        <v>738</v>
      </c>
      <c r="E156" s="11" t="s">
        <v>364</v>
      </c>
    </row>
    <row r="157" spans="1:5" x14ac:dyDescent="0.3">
      <c r="A157" s="11" t="s">
        <v>1046</v>
      </c>
      <c r="B157" s="11" t="s">
        <v>471</v>
      </c>
      <c r="C157" s="11" t="s">
        <v>244</v>
      </c>
      <c r="D157" s="11" t="s">
        <v>740</v>
      </c>
      <c r="E157" s="11" t="s">
        <v>365</v>
      </c>
    </row>
    <row r="158" spans="1:5" x14ac:dyDescent="0.3">
      <c r="A158" s="11" t="s">
        <v>1047</v>
      </c>
      <c r="B158" s="11" t="s">
        <v>535</v>
      </c>
      <c r="C158" s="11" t="s">
        <v>245</v>
      </c>
      <c r="D158" s="11" t="s">
        <v>741</v>
      </c>
      <c r="E158" s="11" t="s">
        <v>366</v>
      </c>
    </row>
    <row r="159" spans="1:5" x14ac:dyDescent="0.3">
      <c r="A159" s="11" t="s">
        <v>1048</v>
      </c>
      <c r="B159" s="11" t="s">
        <v>471</v>
      </c>
      <c r="C159" s="11" t="s">
        <v>246</v>
      </c>
      <c r="D159" s="11" t="s">
        <v>742</v>
      </c>
      <c r="E159" s="11" t="s">
        <v>367</v>
      </c>
    </row>
    <row r="160" spans="1:5" x14ac:dyDescent="0.3">
      <c r="A160" s="11" t="s">
        <v>1049</v>
      </c>
      <c r="B160" s="11" t="s">
        <v>471</v>
      </c>
      <c r="C160" s="11" t="s">
        <v>247</v>
      </c>
      <c r="D160" s="11" t="s">
        <v>743</v>
      </c>
      <c r="E160" s="11" t="s">
        <v>368</v>
      </c>
    </row>
    <row r="161" spans="1:5" x14ac:dyDescent="0.3">
      <c r="A161" s="11" t="s">
        <v>1050</v>
      </c>
      <c r="B161" s="11" t="s">
        <v>463</v>
      </c>
      <c r="C161" s="11" t="s">
        <v>248</v>
      </c>
      <c r="D161" s="11" t="s">
        <v>744</v>
      </c>
      <c r="E161" s="11" t="s">
        <v>369</v>
      </c>
    </row>
    <row r="162" spans="1:5" x14ac:dyDescent="0.3">
      <c r="A162" s="11" t="s">
        <v>1051</v>
      </c>
      <c r="B162" s="11" t="s">
        <v>535</v>
      </c>
      <c r="C162" s="11" t="s">
        <v>249</v>
      </c>
      <c r="D162" s="11" t="s">
        <v>745</v>
      </c>
      <c r="E162" s="11" t="s">
        <v>370</v>
      </c>
    </row>
    <row r="163" spans="1:5" x14ac:dyDescent="0.3">
      <c r="A163" s="11" t="s">
        <v>1052</v>
      </c>
      <c r="B163" s="11" t="s">
        <v>535</v>
      </c>
      <c r="C163" s="11" t="s">
        <v>250</v>
      </c>
      <c r="D163" s="11" t="s">
        <v>746</v>
      </c>
      <c r="E163" s="11" t="s">
        <v>372</v>
      </c>
    </row>
    <row r="164" spans="1:5" x14ac:dyDescent="0.3">
      <c r="A164" s="11" t="s">
        <v>1053</v>
      </c>
      <c r="B164" s="11" t="s">
        <v>535</v>
      </c>
      <c r="C164" s="11" t="s">
        <v>251</v>
      </c>
      <c r="D164" s="11" t="s">
        <v>747</v>
      </c>
      <c r="E164" s="11" t="s">
        <v>373</v>
      </c>
    </row>
    <row r="165" spans="1:5" x14ac:dyDescent="0.3">
      <c r="A165" s="11" t="s">
        <v>1054</v>
      </c>
      <c r="B165" s="11" t="s">
        <v>535</v>
      </c>
      <c r="C165" s="11" t="s">
        <v>252</v>
      </c>
      <c r="D165" s="11" t="s">
        <v>748</v>
      </c>
      <c r="E165" s="11" t="s">
        <v>374</v>
      </c>
    </row>
    <row r="166" spans="1:5" x14ac:dyDescent="0.3">
      <c r="A166" s="11" t="s">
        <v>1155</v>
      </c>
      <c r="B166" s="11" t="s">
        <v>471</v>
      </c>
      <c r="C166" s="11" t="s">
        <v>446</v>
      </c>
      <c r="D166" s="11" t="s">
        <v>1146</v>
      </c>
      <c r="E166" s="11" t="s">
        <v>456</v>
      </c>
    </row>
    <row r="167" spans="1:5" x14ac:dyDescent="0.3">
      <c r="A167" s="11" t="s">
        <v>1055</v>
      </c>
      <c r="B167" s="11" t="s">
        <v>471</v>
      </c>
      <c r="C167" s="11" t="s">
        <v>253</v>
      </c>
      <c r="D167" s="11" t="s">
        <v>749</v>
      </c>
      <c r="E167" s="11" t="s">
        <v>375</v>
      </c>
    </row>
    <row r="168" spans="1:5" x14ac:dyDescent="0.3">
      <c r="A168" s="11" t="s">
        <v>1056</v>
      </c>
      <c r="B168" s="11" t="s">
        <v>535</v>
      </c>
      <c r="C168" s="11" t="s">
        <v>254</v>
      </c>
      <c r="D168" s="11" t="s">
        <v>750</v>
      </c>
      <c r="E168" s="11" t="s">
        <v>376</v>
      </c>
    </row>
    <row r="169" spans="1:5" x14ac:dyDescent="0.3">
      <c r="A169" s="11" t="s">
        <v>1057</v>
      </c>
      <c r="B169" s="11" t="s">
        <v>471</v>
      </c>
      <c r="C169" s="11" t="s">
        <v>255</v>
      </c>
      <c r="D169" s="11" t="s">
        <v>751</v>
      </c>
      <c r="E169" s="11" t="s">
        <v>377</v>
      </c>
    </row>
    <row r="170" spans="1:5" x14ac:dyDescent="0.3">
      <c r="A170" s="11" t="s">
        <v>1058</v>
      </c>
      <c r="B170" s="11" t="s">
        <v>471</v>
      </c>
      <c r="C170" s="11" t="s">
        <v>256</v>
      </c>
      <c r="D170" s="11" t="s">
        <v>752</v>
      </c>
      <c r="E170" s="11" t="s">
        <v>378</v>
      </c>
    </row>
    <row r="171" spans="1:5" x14ac:dyDescent="0.3">
      <c r="A171" s="11" t="s">
        <v>1059</v>
      </c>
      <c r="B171" s="11" t="s">
        <v>471</v>
      </c>
      <c r="C171" s="11" t="s">
        <v>392</v>
      </c>
      <c r="D171" s="11" t="s">
        <v>1147</v>
      </c>
      <c r="E171" s="11" t="s">
        <v>379</v>
      </c>
    </row>
    <row r="172" spans="1:5" x14ac:dyDescent="0.3">
      <c r="A172" s="11" t="s">
        <v>1060</v>
      </c>
      <c r="B172" s="11" t="s">
        <v>471</v>
      </c>
      <c r="C172" s="11" t="s">
        <v>257</v>
      </c>
      <c r="D172" s="11" t="s">
        <v>753</v>
      </c>
      <c r="E172" s="11" t="s">
        <v>380</v>
      </c>
    </row>
    <row r="173" spans="1:5" x14ac:dyDescent="0.3">
      <c r="A173" s="11" t="s">
        <v>1061</v>
      </c>
      <c r="B173" s="11" t="s">
        <v>535</v>
      </c>
      <c r="C173" s="11" t="s">
        <v>258</v>
      </c>
      <c r="D173" s="11" t="s">
        <v>754</v>
      </c>
      <c r="E173" s="11" t="s">
        <v>381</v>
      </c>
    </row>
    <row r="174" spans="1:5" x14ac:dyDescent="0.3">
      <c r="A174" s="11" t="s">
        <v>1062</v>
      </c>
      <c r="B174" s="11" t="s">
        <v>471</v>
      </c>
      <c r="C174" s="11" t="s">
        <v>259</v>
      </c>
      <c r="D174" s="11" t="s">
        <v>755</v>
      </c>
      <c r="E174" s="11" t="s">
        <v>382</v>
      </c>
    </row>
    <row r="175" spans="1:5" x14ac:dyDescent="0.3">
      <c r="A175" s="11" t="s">
        <v>1063</v>
      </c>
      <c r="B175" s="11" t="s">
        <v>471</v>
      </c>
      <c r="C175" s="11" t="s">
        <v>260</v>
      </c>
      <c r="D175" s="11" t="s">
        <v>756</v>
      </c>
      <c r="E175" s="11" t="s">
        <v>383</v>
      </c>
    </row>
    <row r="176" spans="1:5" x14ac:dyDescent="0.3">
      <c r="A176" s="11" t="s">
        <v>1064</v>
      </c>
      <c r="B176" s="11" t="s">
        <v>535</v>
      </c>
      <c r="C176" s="11" t="s">
        <v>261</v>
      </c>
      <c r="D176" s="11" t="s">
        <v>757</v>
      </c>
      <c r="E176" s="11" t="s">
        <v>384</v>
      </c>
    </row>
    <row r="177" spans="1:5" x14ac:dyDescent="0.3">
      <c r="A177" s="11" t="s">
        <v>1065</v>
      </c>
      <c r="B177" s="11" t="s">
        <v>463</v>
      </c>
      <c r="C177" s="11" t="s">
        <v>262</v>
      </c>
      <c r="D177" s="11" t="s">
        <v>758</v>
      </c>
      <c r="E177" s="11" t="s">
        <v>385</v>
      </c>
    </row>
    <row r="178" spans="1:5" x14ac:dyDescent="0.3">
      <c r="A178" s="11" t="s">
        <v>1066</v>
      </c>
      <c r="B178" s="11" t="s">
        <v>471</v>
      </c>
      <c r="C178" s="11" t="s">
        <v>263</v>
      </c>
      <c r="D178" s="11" t="s">
        <v>759</v>
      </c>
      <c r="E178" s="11" t="s">
        <v>386</v>
      </c>
    </row>
    <row r="179" spans="1:5" x14ac:dyDescent="0.3">
      <c r="A179" s="11" t="s">
        <v>1067</v>
      </c>
      <c r="B179" s="11" t="s">
        <v>471</v>
      </c>
      <c r="C179" s="11" t="s">
        <v>264</v>
      </c>
      <c r="D179" s="11" t="s">
        <v>760</v>
      </c>
      <c r="E179" s="11" t="s">
        <v>387</v>
      </c>
    </row>
    <row r="180" spans="1:5" x14ac:dyDescent="0.3">
      <c r="A180" s="11" t="s">
        <v>1068</v>
      </c>
      <c r="B180" s="11" t="s">
        <v>471</v>
      </c>
      <c r="C180" s="11" t="s">
        <v>393</v>
      </c>
      <c r="D180" s="11" t="s">
        <v>1148</v>
      </c>
      <c r="E180" s="11" t="s">
        <v>388</v>
      </c>
    </row>
    <row r="181" spans="1:5" x14ac:dyDescent="0.3">
      <c r="A181" s="11" t="s">
        <v>1069</v>
      </c>
      <c r="B181" s="11" t="s">
        <v>471</v>
      </c>
      <c r="C181" s="11" t="s">
        <v>265</v>
      </c>
      <c r="D181" s="11" t="s">
        <v>761</v>
      </c>
      <c r="E181" s="11" t="s">
        <v>389</v>
      </c>
    </row>
    <row r="182" spans="1:5" x14ac:dyDescent="0.3">
      <c r="A182" s="11" t="s">
        <v>1070</v>
      </c>
      <c r="B182" s="11" t="s">
        <v>471</v>
      </c>
      <c r="C182" s="11" t="s">
        <v>266</v>
      </c>
      <c r="D182" s="11" t="s">
        <v>762</v>
      </c>
      <c r="E182" s="11" t="s">
        <v>390</v>
      </c>
    </row>
    <row r="183" spans="1:5" x14ac:dyDescent="0.3">
      <c r="A183" s="11" t="s">
        <v>1071</v>
      </c>
      <c r="B183" s="11" t="s">
        <v>463</v>
      </c>
      <c r="C183" s="11" t="s">
        <v>267</v>
      </c>
      <c r="D183" s="11" t="s">
        <v>763</v>
      </c>
      <c r="E183" s="11" t="s">
        <v>391</v>
      </c>
    </row>
    <row r="184" spans="1:5" x14ac:dyDescent="0.3">
      <c r="A184" s="11" t="s">
        <v>1072</v>
      </c>
      <c r="B184" s="11" t="s">
        <v>459</v>
      </c>
      <c r="C184" s="11" t="s">
        <v>268</v>
      </c>
      <c r="D184" s="11" t="s">
        <v>764</v>
      </c>
      <c r="E184" s="11" t="s">
        <v>394</v>
      </c>
    </row>
    <row r="185" spans="1:5" x14ac:dyDescent="0.3">
      <c r="A185" s="11" t="s">
        <v>1073</v>
      </c>
      <c r="B185" s="11" t="s">
        <v>461</v>
      </c>
      <c r="C185" s="11" t="s">
        <v>269</v>
      </c>
      <c r="D185" s="11" t="s">
        <v>765</v>
      </c>
      <c r="E185" s="11" t="s">
        <v>395</v>
      </c>
    </row>
    <row r="186" spans="1:5" x14ac:dyDescent="0.3">
      <c r="A186" s="11" t="s">
        <v>1074</v>
      </c>
      <c r="B186" s="11" t="s">
        <v>471</v>
      </c>
      <c r="C186" s="11" t="s">
        <v>270</v>
      </c>
      <c r="D186" s="11" t="s">
        <v>766</v>
      </c>
      <c r="E186" s="11" t="s">
        <v>396</v>
      </c>
    </row>
    <row r="187" spans="1:5" x14ac:dyDescent="0.3">
      <c r="A187" s="11" t="s">
        <v>1075</v>
      </c>
      <c r="B187" s="11" t="s">
        <v>535</v>
      </c>
      <c r="C187" s="11" t="s">
        <v>271</v>
      </c>
      <c r="D187" s="11" t="s">
        <v>767</v>
      </c>
      <c r="E187" s="11" t="s">
        <v>397</v>
      </c>
    </row>
    <row r="188" spans="1:5" x14ac:dyDescent="0.3">
      <c r="A188" s="11" t="s">
        <v>1076</v>
      </c>
      <c r="B188" s="11" t="s">
        <v>463</v>
      </c>
      <c r="C188" s="11" t="s">
        <v>272</v>
      </c>
      <c r="D188" s="11" t="s">
        <v>768</v>
      </c>
      <c r="E188" s="11" t="s">
        <v>398</v>
      </c>
    </row>
    <row r="189" spans="1:5" x14ac:dyDescent="0.3">
      <c r="A189" s="11" t="s">
        <v>1077</v>
      </c>
      <c r="B189" s="11" t="s">
        <v>535</v>
      </c>
      <c r="C189" s="11" t="s">
        <v>273</v>
      </c>
      <c r="D189" s="11" t="s">
        <v>769</v>
      </c>
      <c r="E189" s="11" t="s">
        <v>399</v>
      </c>
    </row>
    <row r="190" spans="1:5" x14ac:dyDescent="0.3">
      <c r="A190" s="11" t="s">
        <v>1078</v>
      </c>
      <c r="B190" s="11" t="s">
        <v>535</v>
      </c>
      <c r="C190" s="11" t="s">
        <v>274</v>
      </c>
      <c r="D190" s="11" t="s">
        <v>770</v>
      </c>
      <c r="E190" s="11" t="s">
        <v>400</v>
      </c>
    </row>
    <row r="191" spans="1:5" x14ac:dyDescent="0.3">
      <c r="A191" s="11" t="s">
        <v>1079</v>
      </c>
      <c r="B191" s="11" t="s">
        <v>535</v>
      </c>
      <c r="C191" s="11" t="s">
        <v>275</v>
      </c>
      <c r="D191" s="11" t="s">
        <v>771</v>
      </c>
      <c r="E191" s="11" t="s">
        <v>401</v>
      </c>
    </row>
    <row r="192" spans="1:5" x14ac:dyDescent="0.3">
      <c r="A192" s="11" t="s">
        <v>1080</v>
      </c>
      <c r="B192" s="11" t="s">
        <v>471</v>
      </c>
      <c r="C192" s="11" t="s">
        <v>276</v>
      </c>
      <c r="D192" s="11" t="s">
        <v>772</v>
      </c>
      <c r="E192" s="11" t="s">
        <v>402</v>
      </c>
    </row>
    <row r="193" spans="1:5" x14ac:dyDescent="0.3">
      <c r="A193" s="11" t="s">
        <v>1081</v>
      </c>
      <c r="B193" s="11" t="s">
        <v>471</v>
      </c>
      <c r="C193" s="11" t="s">
        <v>277</v>
      </c>
      <c r="D193" s="11" t="s">
        <v>773</v>
      </c>
      <c r="E193" s="11" t="s">
        <v>403</v>
      </c>
    </row>
    <row r="194" spans="1:5" x14ac:dyDescent="0.3">
      <c r="A194" s="11" t="s">
        <v>1082</v>
      </c>
      <c r="B194" s="11" t="s">
        <v>471</v>
      </c>
      <c r="C194" s="11" t="s">
        <v>278</v>
      </c>
      <c r="D194" s="11" t="s">
        <v>774</v>
      </c>
      <c r="E194" s="11" t="s">
        <v>404</v>
      </c>
    </row>
    <row r="195" spans="1:5" x14ac:dyDescent="0.3">
      <c r="A195" s="11" t="s">
        <v>1083</v>
      </c>
      <c r="B195" s="11" t="s">
        <v>535</v>
      </c>
      <c r="C195" s="11" t="s">
        <v>279</v>
      </c>
      <c r="D195" s="11" t="s">
        <v>775</v>
      </c>
      <c r="E195" s="11" t="s">
        <v>405</v>
      </c>
    </row>
    <row r="196" spans="1:5" x14ac:dyDescent="0.3">
      <c r="A196" s="11" t="s">
        <v>1084</v>
      </c>
      <c r="B196" s="11" t="s">
        <v>471</v>
      </c>
      <c r="C196" s="11" t="s">
        <v>280</v>
      </c>
      <c r="D196" s="11" t="s">
        <v>776</v>
      </c>
      <c r="E196" s="11" t="s">
        <v>406</v>
      </c>
    </row>
    <row r="197" spans="1:5" x14ac:dyDescent="0.3">
      <c r="A197" s="11" t="s">
        <v>1085</v>
      </c>
      <c r="B197" s="11" t="s">
        <v>535</v>
      </c>
      <c r="C197" s="11" t="s">
        <v>281</v>
      </c>
      <c r="D197" s="11" t="s">
        <v>777</v>
      </c>
      <c r="E197" s="11" t="s">
        <v>407</v>
      </c>
    </row>
    <row r="198" spans="1:5" x14ac:dyDescent="0.3">
      <c r="A198" s="11" t="s">
        <v>1086</v>
      </c>
      <c r="B198" s="11" t="s">
        <v>535</v>
      </c>
      <c r="C198" s="11" t="s">
        <v>282</v>
      </c>
      <c r="D198" s="11" t="s">
        <v>778</v>
      </c>
      <c r="E198" s="11" t="s">
        <v>408</v>
      </c>
    </row>
    <row r="199" spans="1:5" x14ac:dyDescent="0.3">
      <c r="A199" s="11" t="s">
        <v>1087</v>
      </c>
      <c r="B199" s="11" t="s">
        <v>471</v>
      </c>
      <c r="C199" s="11" t="s">
        <v>283</v>
      </c>
      <c r="D199" s="11" t="s">
        <v>779</v>
      </c>
      <c r="E199" s="11" t="s">
        <v>409</v>
      </c>
    </row>
    <row r="200" spans="1:5" x14ac:dyDescent="0.3">
      <c r="A200" s="11" t="s">
        <v>1088</v>
      </c>
      <c r="B200" s="11" t="s">
        <v>471</v>
      </c>
      <c r="C200" s="11" t="s">
        <v>284</v>
      </c>
      <c r="D200" s="11" t="s">
        <v>780</v>
      </c>
      <c r="E200" s="11" t="s">
        <v>410</v>
      </c>
    </row>
    <row r="201" spans="1:5" x14ac:dyDescent="0.3">
      <c r="A201" s="11" t="s">
        <v>1089</v>
      </c>
      <c r="B201" s="11" t="s">
        <v>535</v>
      </c>
      <c r="C201" s="11" t="s">
        <v>286</v>
      </c>
      <c r="D201" s="11" t="s">
        <v>781</v>
      </c>
      <c r="E201" s="11" t="s">
        <v>411</v>
      </c>
    </row>
    <row r="202" spans="1:5" x14ac:dyDescent="0.3">
      <c r="A202" s="11" t="s">
        <v>1090</v>
      </c>
      <c r="B202" s="11" t="s">
        <v>471</v>
      </c>
      <c r="C202" s="11" t="s">
        <v>287</v>
      </c>
      <c r="D202" s="11" t="s">
        <v>782</v>
      </c>
      <c r="E202" s="11" t="s">
        <v>412</v>
      </c>
    </row>
    <row r="203" spans="1:5" x14ac:dyDescent="0.3">
      <c r="A203" s="11" t="s">
        <v>1091</v>
      </c>
      <c r="B203" s="11" t="s">
        <v>463</v>
      </c>
      <c r="C203" s="11" t="s">
        <v>288</v>
      </c>
      <c r="D203" s="11" t="s">
        <v>783</v>
      </c>
      <c r="E203" s="11" t="s">
        <v>413</v>
      </c>
    </row>
    <row r="204" spans="1:5" x14ac:dyDescent="0.3">
      <c r="A204" s="11" t="s">
        <v>1092</v>
      </c>
      <c r="B204" s="11" t="s">
        <v>535</v>
      </c>
      <c r="C204" s="11" t="s">
        <v>289</v>
      </c>
      <c r="D204" s="11" t="s">
        <v>785</v>
      </c>
      <c r="E204" s="11" t="s">
        <v>414</v>
      </c>
    </row>
    <row r="205" spans="1:5" x14ac:dyDescent="0.3">
      <c r="A205" s="11" t="s">
        <v>1093</v>
      </c>
      <c r="B205" s="11" t="s">
        <v>471</v>
      </c>
      <c r="C205" s="11" t="s">
        <v>290</v>
      </c>
      <c r="D205" s="11" t="s">
        <v>786</v>
      </c>
      <c r="E205" s="11" t="s">
        <v>415</v>
      </c>
    </row>
    <row r="206" spans="1:5" x14ac:dyDescent="0.3">
      <c r="A206" s="11" t="s">
        <v>1094</v>
      </c>
      <c r="B206" s="11" t="s">
        <v>471</v>
      </c>
      <c r="C206" s="11" t="s">
        <v>291</v>
      </c>
      <c r="D206" s="11" t="s">
        <v>787</v>
      </c>
      <c r="E206" s="11" t="s">
        <v>416</v>
      </c>
    </row>
    <row r="207" spans="1:5" x14ac:dyDescent="0.3">
      <c r="A207" s="11" t="s">
        <v>1095</v>
      </c>
      <c r="B207" s="11" t="s">
        <v>535</v>
      </c>
      <c r="C207" s="11" t="s">
        <v>292</v>
      </c>
      <c r="D207" s="11" t="s">
        <v>788</v>
      </c>
      <c r="E207" s="11" t="s">
        <v>417</v>
      </c>
    </row>
    <row r="208" spans="1:5" x14ac:dyDescent="0.3">
      <c r="A208" s="11" t="s">
        <v>1096</v>
      </c>
      <c r="B208" s="11" t="s">
        <v>459</v>
      </c>
      <c r="C208" s="11" t="s">
        <v>293</v>
      </c>
      <c r="D208" s="11" t="s">
        <v>789</v>
      </c>
      <c r="E208" s="11" t="s">
        <v>473</v>
      </c>
    </row>
    <row r="209" spans="1:5" x14ac:dyDescent="0.3">
      <c r="A209" s="11" t="s">
        <v>1097</v>
      </c>
      <c r="B209" s="11" t="s">
        <v>471</v>
      </c>
      <c r="C209" s="11" t="s">
        <v>450</v>
      </c>
      <c r="D209" s="11" t="s">
        <v>1149</v>
      </c>
      <c r="E209" s="11" t="s">
        <v>457</v>
      </c>
    </row>
    <row r="210" spans="1:5" x14ac:dyDescent="0.3">
      <c r="A210" s="11" t="s">
        <v>1098</v>
      </c>
      <c r="B210" s="11" t="s">
        <v>471</v>
      </c>
      <c r="C210" s="11" t="s">
        <v>294</v>
      </c>
      <c r="D210" s="11" t="s">
        <v>790</v>
      </c>
      <c r="E210" s="11" t="s">
        <v>419</v>
      </c>
    </row>
    <row r="211" spans="1:5" x14ac:dyDescent="0.3">
      <c r="A211" s="11" t="s">
        <v>1099</v>
      </c>
      <c r="B211" s="11" t="s">
        <v>471</v>
      </c>
      <c r="C211" s="11" t="s">
        <v>431</v>
      </c>
      <c r="D211" s="11" t="s">
        <v>791</v>
      </c>
      <c r="E211" s="11" t="s">
        <v>420</v>
      </c>
    </row>
    <row r="212" spans="1:5" x14ac:dyDescent="0.3">
      <c r="A212" s="11" t="s">
        <v>1100</v>
      </c>
      <c r="B212" s="11" t="s">
        <v>535</v>
      </c>
      <c r="C212" s="11" t="s">
        <v>295</v>
      </c>
      <c r="D212" s="11" t="s">
        <v>792</v>
      </c>
      <c r="E212" s="11" t="s">
        <v>421</v>
      </c>
    </row>
    <row r="213" spans="1:5" x14ac:dyDescent="0.3">
      <c r="A213" s="11" t="s">
        <v>1101</v>
      </c>
      <c r="B213" s="11" t="s">
        <v>535</v>
      </c>
      <c r="C213" s="11" t="s">
        <v>296</v>
      </c>
      <c r="D213" s="11" t="s">
        <v>793</v>
      </c>
      <c r="E213" s="11" t="s">
        <v>422</v>
      </c>
    </row>
    <row r="214" spans="1:5" x14ac:dyDescent="0.3">
      <c r="A214" s="11" t="s">
        <v>1102</v>
      </c>
      <c r="B214" s="11" t="s">
        <v>524</v>
      </c>
      <c r="C214" s="11" t="s">
        <v>525</v>
      </c>
      <c r="D214" s="11" t="s">
        <v>794</v>
      </c>
      <c r="E214" s="11" t="s">
        <v>516</v>
      </c>
    </row>
    <row r="215" spans="1:5" x14ac:dyDescent="0.3">
      <c r="A215" s="11" t="s">
        <v>1103</v>
      </c>
      <c r="B215" s="11" t="s">
        <v>524</v>
      </c>
      <c r="C215" s="11" t="s">
        <v>526</v>
      </c>
      <c r="D215" s="11" t="s">
        <v>795</v>
      </c>
      <c r="E215" s="11" t="s">
        <v>517</v>
      </c>
    </row>
    <row r="216" spans="1:5" x14ac:dyDescent="0.3">
      <c r="A216" s="11" t="s">
        <v>1104</v>
      </c>
      <c r="B216" s="11" t="s">
        <v>524</v>
      </c>
      <c r="C216" s="11" t="s">
        <v>527</v>
      </c>
      <c r="D216" s="11" t="s">
        <v>796</v>
      </c>
      <c r="E216" s="11" t="s">
        <v>518</v>
      </c>
    </row>
    <row r="217" spans="1:5" x14ac:dyDescent="0.3">
      <c r="A217" s="11" t="s">
        <v>1105</v>
      </c>
      <c r="B217" s="11" t="s">
        <v>524</v>
      </c>
      <c r="C217" s="11" t="s">
        <v>528</v>
      </c>
      <c r="D217" s="11" t="s">
        <v>797</v>
      </c>
      <c r="E217" s="11" t="s">
        <v>519</v>
      </c>
    </row>
    <row r="218" spans="1:5" x14ac:dyDescent="0.3">
      <c r="A218" s="11" t="s">
        <v>1106</v>
      </c>
      <c r="B218" s="11" t="s">
        <v>524</v>
      </c>
      <c r="C218" s="11" t="s">
        <v>531</v>
      </c>
      <c r="D218" s="11" t="s">
        <v>798</v>
      </c>
      <c r="E218" s="11" t="s">
        <v>520</v>
      </c>
    </row>
    <row r="219" spans="1:5" x14ac:dyDescent="0.3">
      <c r="A219" s="11" t="s">
        <v>1107</v>
      </c>
      <c r="B219" s="11" t="s">
        <v>471</v>
      </c>
      <c r="C219" s="11" t="s">
        <v>297</v>
      </c>
      <c r="D219" s="11" t="s">
        <v>802</v>
      </c>
      <c r="E219" s="11" t="s">
        <v>423</v>
      </c>
    </row>
    <row r="220" spans="1:5" x14ac:dyDescent="0.3">
      <c r="A220" s="11" t="s">
        <v>1108</v>
      </c>
      <c r="B220" s="11" t="s">
        <v>524</v>
      </c>
      <c r="C220" s="11" t="s">
        <v>529</v>
      </c>
      <c r="D220" s="11" t="s">
        <v>799</v>
      </c>
      <c r="E220" s="11" t="s">
        <v>521</v>
      </c>
    </row>
    <row r="221" spans="1:5" x14ac:dyDescent="0.3">
      <c r="A221" s="11" t="s">
        <v>1109</v>
      </c>
      <c r="B221" s="11" t="s">
        <v>524</v>
      </c>
      <c r="C221" s="11" t="s">
        <v>532</v>
      </c>
      <c r="D221" s="11" t="s">
        <v>800</v>
      </c>
      <c r="E221" s="11" t="s">
        <v>522</v>
      </c>
    </row>
    <row r="222" spans="1:5" x14ac:dyDescent="0.3">
      <c r="A222" s="11" t="s">
        <v>1110</v>
      </c>
      <c r="B222" s="11" t="s">
        <v>471</v>
      </c>
      <c r="C222" s="11" t="s">
        <v>298</v>
      </c>
      <c r="D222" s="11" t="s">
        <v>803</v>
      </c>
      <c r="E222" s="11" t="s">
        <v>424</v>
      </c>
    </row>
    <row r="223" spans="1:5" x14ac:dyDescent="0.3">
      <c r="A223" s="11" t="s">
        <v>1111</v>
      </c>
      <c r="B223" s="11" t="s">
        <v>524</v>
      </c>
      <c r="C223" s="11" t="s">
        <v>530</v>
      </c>
      <c r="D223" s="11" t="s">
        <v>801</v>
      </c>
      <c r="E223" s="11" t="s">
        <v>523</v>
      </c>
    </row>
    <row r="224" spans="1:5" x14ac:dyDescent="0.3">
      <c r="A224" s="11" t="s">
        <v>1112</v>
      </c>
      <c r="B224" s="11" t="s">
        <v>460</v>
      </c>
      <c r="C224" s="11" t="s">
        <v>299</v>
      </c>
      <c r="D224" s="11" t="s">
        <v>804</v>
      </c>
      <c r="E224" s="11" t="s">
        <v>425</v>
      </c>
    </row>
    <row r="225" spans="1:5" x14ac:dyDescent="0.3">
      <c r="A225" s="11" t="s">
        <v>1113</v>
      </c>
      <c r="B225" s="11" t="s">
        <v>463</v>
      </c>
      <c r="C225" s="11" t="s">
        <v>300</v>
      </c>
      <c r="D225" s="11" t="s">
        <v>805</v>
      </c>
      <c r="E225" s="11" t="s">
        <v>426</v>
      </c>
    </row>
    <row r="226" spans="1:5" x14ac:dyDescent="0.3">
      <c r="A226" s="11" t="s">
        <v>1114</v>
      </c>
      <c r="B226" s="11" t="s">
        <v>463</v>
      </c>
      <c r="C226" s="11" t="s">
        <v>301</v>
      </c>
      <c r="D226" s="11" t="s">
        <v>806</v>
      </c>
      <c r="E226" s="11" t="s">
        <v>427</v>
      </c>
    </row>
    <row r="227" spans="1:5" x14ac:dyDescent="0.3">
      <c r="A227" s="11" t="s">
        <v>1115</v>
      </c>
      <c r="B227" s="11" t="s">
        <v>463</v>
      </c>
      <c r="C227" s="11" t="s">
        <v>302</v>
      </c>
      <c r="D227" s="11" t="s">
        <v>807</v>
      </c>
      <c r="E227" s="11" t="s">
        <v>428</v>
      </c>
    </row>
    <row r="228" spans="1:5" x14ac:dyDescent="0.3">
      <c r="A228" s="11" t="s">
        <v>1116</v>
      </c>
      <c r="B228" s="11" t="s">
        <v>467</v>
      </c>
      <c r="C228" s="11" t="s">
        <v>470</v>
      </c>
      <c r="D228" s="11" t="s">
        <v>811</v>
      </c>
      <c r="E228" s="11" t="s">
        <v>464</v>
      </c>
    </row>
    <row r="229" spans="1:5" x14ac:dyDescent="0.3">
      <c r="A229" s="11" t="s">
        <v>1117</v>
      </c>
      <c r="B229" s="11" t="s">
        <v>471</v>
      </c>
      <c r="C229" s="11" t="s">
        <v>303</v>
      </c>
      <c r="D229" s="11" t="s">
        <v>808</v>
      </c>
      <c r="E229" s="11" t="s">
        <v>429</v>
      </c>
    </row>
    <row r="230" spans="1:5" x14ac:dyDescent="0.3">
      <c r="A230" s="11" t="s">
        <v>1118</v>
      </c>
      <c r="B230" s="11" t="s">
        <v>467</v>
      </c>
      <c r="C230" s="11" t="s">
        <v>468</v>
      </c>
      <c r="D230" s="11" t="s">
        <v>812</v>
      </c>
      <c r="E230" s="11" t="s">
        <v>465</v>
      </c>
    </row>
    <row r="231" spans="1:5" x14ac:dyDescent="0.3">
      <c r="A231" s="11" t="s">
        <v>1119</v>
      </c>
      <c r="B231" s="11" t="s">
        <v>467</v>
      </c>
      <c r="C231" s="11" t="s">
        <v>469</v>
      </c>
      <c r="D231" s="11" t="s">
        <v>813</v>
      </c>
      <c r="E231" s="11" t="s">
        <v>466</v>
      </c>
    </row>
    <row r="232" spans="1:5" x14ac:dyDescent="0.3">
      <c r="A232" s="11" t="s">
        <v>1120</v>
      </c>
      <c r="B232" s="11" t="s">
        <v>471</v>
      </c>
      <c r="C232" s="11" t="s">
        <v>304</v>
      </c>
      <c r="D232" s="11" t="s">
        <v>809</v>
      </c>
      <c r="E232" s="11" t="s">
        <v>430</v>
      </c>
    </row>
    <row r="233" spans="1:5" x14ac:dyDescent="0.3">
      <c r="A233" s="11" t="s">
        <v>1121</v>
      </c>
      <c r="B233" s="11" t="s">
        <v>489</v>
      </c>
      <c r="C233" s="11" t="s">
        <v>843</v>
      </c>
      <c r="D233" s="11" t="s">
        <v>815</v>
      </c>
      <c r="E233" s="11" t="s">
        <v>490</v>
      </c>
    </row>
    <row r="234" spans="1:5" x14ac:dyDescent="0.3">
      <c r="A234" s="11" t="s">
        <v>1122</v>
      </c>
      <c r="B234" s="11" t="s">
        <v>489</v>
      </c>
      <c r="C234" s="11" t="s">
        <v>840</v>
      </c>
      <c r="D234" s="11" t="s">
        <v>816</v>
      </c>
      <c r="E234" s="11" t="s">
        <v>491</v>
      </c>
    </row>
    <row r="235" spans="1:5" x14ac:dyDescent="0.3">
      <c r="A235" s="11" t="s">
        <v>1123</v>
      </c>
      <c r="B235" s="11" t="s">
        <v>489</v>
      </c>
      <c r="C235" s="11" t="s">
        <v>841</v>
      </c>
      <c r="D235" s="11" t="s">
        <v>817</v>
      </c>
      <c r="E235" s="11" t="s">
        <v>492</v>
      </c>
    </row>
    <row r="236" spans="1:5" x14ac:dyDescent="0.3">
      <c r="A236" s="11" t="s">
        <v>1124</v>
      </c>
      <c r="B236" s="11" t="s">
        <v>489</v>
      </c>
      <c r="C236" s="11" t="s">
        <v>842</v>
      </c>
      <c r="D236" s="11" t="s">
        <v>818</v>
      </c>
      <c r="E236" s="11" t="s">
        <v>493</v>
      </c>
    </row>
    <row r="237" spans="1:5" x14ac:dyDescent="0.3">
      <c r="A237" s="11" t="s">
        <v>1125</v>
      </c>
      <c r="B237" s="11" t="s">
        <v>460</v>
      </c>
      <c r="C237" s="11" t="s">
        <v>10</v>
      </c>
      <c r="D237" s="11" t="s">
        <v>592</v>
      </c>
      <c r="E237" s="11" t="s">
        <v>96</v>
      </c>
    </row>
    <row r="238" spans="1:5" x14ac:dyDescent="0.3">
      <c r="A238" s="11" t="s">
        <v>1126</v>
      </c>
      <c r="B238" s="11" t="s">
        <v>460</v>
      </c>
      <c r="C238" s="11" t="s">
        <v>845</v>
      </c>
      <c r="D238" s="11" t="s">
        <v>819</v>
      </c>
      <c r="E238" s="11" t="s">
        <v>494</v>
      </c>
    </row>
    <row r="239" spans="1:5" x14ac:dyDescent="0.3">
      <c r="A239" s="11" t="s">
        <v>1127</v>
      </c>
      <c r="B239" s="11" t="s">
        <v>460</v>
      </c>
      <c r="C239" s="11" t="s">
        <v>844</v>
      </c>
      <c r="D239" s="11" t="s">
        <v>820</v>
      </c>
      <c r="E239" s="11" t="s">
        <v>495</v>
      </c>
    </row>
    <row r="240" spans="1:5" x14ac:dyDescent="0.3">
      <c r="A240" s="11" t="s">
        <v>1128</v>
      </c>
      <c r="B240" s="11" t="s">
        <v>505</v>
      </c>
      <c r="C240" s="11" t="s">
        <v>852</v>
      </c>
      <c r="D240" s="11" t="s">
        <v>814</v>
      </c>
      <c r="E240" s="11" t="s">
        <v>499</v>
      </c>
    </row>
    <row r="241" spans="1:5" x14ac:dyDescent="0.3">
      <c r="A241" s="11" t="s">
        <v>1129</v>
      </c>
      <c r="B241" s="11" t="s">
        <v>506</v>
      </c>
      <c r="C241" s="11" t="s">
        <v>836</v>
      </c>
      <c r="D241" s="11" t="s">
        <v>821</v>
      </c>
      <c r="E241" s="11" t="s">
        <v>500</v>
      </c>
    </row>
    <row r="242" spans="1:5" x14ac:dyDescent="0.3">
      <c r="A242" s="11" t="s">
        <v>1130</v>
      </c>
      <c r="B242" s="11" t="s">
        <v>506</v>
      </c>
      <c r="C242" s="11" t="s">
        <v>837</v>
      </c>
      <c r="D242" s="11" t="s">
        <v>822</v>
      </c>
      <c r="E242" s="11" t="s">
        <v>501</v>
      </c>
    </row>
    <row r="243" spans="1:5" x14ac:dyDescent="0.3">
      <c r="A243" s="11" t="s">
        <v>1131</v>
      </c>
      <c r="B243" s="11" t="s">
        <v>506</v>
      </c>
      <c r="C243" s="11" t="s">
        <v>838</v>
      </c>
      <c r="D243" s="11" t="s">
        <v>823</v>
      </c>
      <c r="E243" s="11" t="s">
        <v>502</v>
      </c>
    </row>
    <row r="244" spans="1:5" x14ac:dyDescent="0.3">
      <c r="A244" s="11" t="s">
        <v>1132</v>
      </c>
      <c r="B244" s="11" t="s">
        <v>507</v>
      </c>
      <c r="C244" s="11" t="s">
        <v>839</v>
      </c>
      <c r="D244" s="11" t="s">
        <v>824</v>
      </c>
      <c r="E244" s="11" t="s">
        <v>503</v>
      </c>
    </row>
    <row r="245" spans="1:5" x14ac:dyDescent="0.3">
      <c r="A245" s="11" t="s">
        <v>1133</v>
      </c>
      <c r="B245" s="11" t="s">
        <v>459</v>
      </c>
      <c r="C245" s="11" t="s">
        <v>846</v>
      </c>
      <c r="D245" s="11" t="s">
        <v>662</v>
      </c>
      <c r="E245" s="11" t="s">
        <v>508</v>
      </c>
    </row>
    <row r="246" spans="1:5" x14ac:dyDescent="0.3">
      <c r="A246" s="11" t="s">
        <v>1134</v>
      </c>
      <c r="B246" s="11" t="s">
        <v>459</v>
      </c>
      <c r="C246" s="11" t="s">
        <v>847</v>
      </c>
      <c r="D246" s="11" t="s">
        <v>825</v>
      </c>
      <c r="E246" s="11" t="s">
        <v>509</v>
      </c>
    </row>
    <row r="247" spans="1:5" x14ac:dyDescent="0.3">
      <c r="A247" s="11" t="s">
        <v>1135</v>
      </c>
      <c r="B247" s="11" t="s">
        <v>459</v>
      </c>
      <c r="C247" s="11" t="s">
        <v>848</v>
      </c>
      <c r="D247" s="11" t="s">
        <v>680</v>
      </c>
      <c r="E247" s="11" t="s">
        <v>510</v>
      </c>
    </row>
    <row r="248" spans="1:5" x14ac:dyDescent="0.3">
      <c r="A248" s="11" t="s">
        <v>1136</v>
      </c>
      <c r="B248" s="11" t="s">
        <v>459</v>
      </c>
      <c r="C248" s="11" t="s">
        <v>851</v>
      </c>
      <c r="D248" s="11" t="s">
        <v>784</v>
      </c>
      <c r="E248" s="11" t="s">
        <v>511</v>
      </c>
    </row>
    <row r="249" spans="1:5" x14ac:dyDescent="0.3">
      <c r="A249" s="11" t="s">
        <v>1137</v>
      </c>
      <c r="B249" s="11" t="s">
        <v>462</v>
      </c>
      <c r="C249" s="11" t="s">
        <v>856</v>
      </c>
      <c r="D249" s="11" t="s">
        <v>606</v>
      </c>
      <c r="E249" s="11" t="s">
        <v>512</v>
      </c>
    </row>
    <row r="250" spans="1:5" x14ac:dyDescent="0.3">
      <c r="A250" s="11" t="s">
        <v>1138</v>
      </c>
      <c r="B250" s="11" t="s">
        <v>462</v>
      </c>
      <c r="C250" s="11" t="s">
        <v>850</v>
      </c>
      <c r="D250" s="11" t="s">
        <v>810</v>
      </c>
      <c r="E250" s="11" t="s">
        <v>513</v>
      </c>
    </row>
    <row r="251" spans="1:5" x14ac:dyDescent="0.3">
      <c r="A251" s="11" t="s">
        <v>1139</v>
      </c>
      <c r="B251" s="11" t="s">
        <v>535</v>
      </c>
      <c r="C251" s="11" t="s">
        <v>849</v>
      </c>
      <c r="D251" s="11" t="s">
        <v>681</v>
      </c>
      <c r="E251" s="11" t="s">
        <v>536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고정 축일</vt:lpstr>
      <vt:lpstr>이동 축일</vt:lpstr>
      <vt:lpstr>로마 보편 전례력</vt:lpstr>
      <vt:lpstr>한국 고유 전례력</vt:lpstr>
      <vt:lpstr>해시 정리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Hyeonsoo Jeong</dc:creator>
  <cp:lastModifiedBy>Hyeonsoo Jeong</cp:lastModifiedBy>
  <dcterms:created xsi:type="dcterms:W3CDTF">2025-08-12T06:19:11Z</dcterms:created>
  <dcterms:modified xsi:type="dcterms:W3CDTF">2025-08-26T06:08:35Z</dcterms:modified>
</cp:coreProperties>
</file>